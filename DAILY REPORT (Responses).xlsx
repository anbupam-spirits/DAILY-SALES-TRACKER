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LOCATION RESPONSES" sheetId="2" r:id="rId5"/>
  </sheets>
  <definedNames>
    <definedName hidden="1" localSheetId="0" name="_xlnm._FilterDatabase">'Form responses 1'!$A$1:$R$244</definedName>
    <definedName name="MY_FUNCTION1">LAMBDA(VALUE(MID(MID('Form responses 1'!$C$2,FIND("query=",'Form responses 1'!$C$2)+6,50),FIND("%2C",MID('Form responses 1'!$C$2,FIND("query=",'Form responses 1'!$C$2)+6,50))+3,50)))</definedName>
  </definedNames>
  <calcPr/>
</workbook>
</file>

<file path=xl/sharedStrings.xml><?xml version="1.0" encoding="utf-8"?>
<sst xmlns="http://schemas.openxmlformats.org/spreadsheetml/2006/main" count="2865" uniqueCount="1057">
  <si>
    <t>Timestamp</t>
  </si>
  <si>
    <t>STORE NAME AND CONTACT PERSON</t>
  </si>
  <si>
    <t>PHONE NUMBER</t>
  </si>
  <si>
    <t>TIME</t>
  </si>
  <si>
    <t>PHOTOGRAPH</t>
  </si>
  <si>
    <t>TOBACCO PRODUCTS INTERESTED IN/THEY DEAL IN</t>
  </si>
  <si>
    <t>ORDER DETAILS IF CONVERTED</t>
  </si>
  <si>
    <t>CLICK THE LINK TO RECORD LOCATION. DID YOU RECORD THE LOCATION?</t>
  </si>
  <si>
    <t>STORE CATEGORY</t>
  </si>
  <si>
    <t>SR NAME</t>
  </si>
  <si>
    <t>REMARKS</t>
  </si>
  <si>
    <t>LEAD TYPE</t>
  </si>
  <si>
    <t>FOLLOW UP DATE</t>
  </si>
  <si>
    <t>STORE VISIT TYPE</t>
  </si>
  <si>
    <t>DATE</t>
  </si>
  <si>
    <t>ADMIN REMARKS</t>
  </si>
  <si>
    <t>LATITUDE</t>
  </si>
  <si>
    <t>LONGITUDE</t>
  </si>
  <si>
    <t>YES</t>
  </si>
  <si>
    <t>HoReca</t>
  </si>
  <si>
    <t>Family supar market/ram pukar mahatu/R</t>
  </si>
  <si>
    <t>https://drive.google.com/open?id=1LLp0DhHFSv7YQ9mS4SaARmc3ViSWnT60</t>
  </si>
  <si>
    <t>CIGARETTE</t>
  </si>
  <si>
    <t>No ordar owner is not available</t>
  </si>
  <si>
    <t>MT</t>
  </si>
  <si>
    <t>Plu meriya mart/subol debnaght/R</t>
  </si>
  <si>
    <t>https://drive.google.com/open?id=1XxQSaNs1isYtF8bjHlTzO59tX9fN8dRC</t>
  </si>
  <si>
    <t>CIGARETTE, CIGARS</t>
  </si>
  <si>
    <t>No ordar</t>
  </si>
  <si>
    <t>O Guwahati/Skar</t>
  </si>
  <si>
    <t>https://drive.google.com/open?id=1K_ZdZpR9_1SY8AClbNjUhK6jInFJnPMM</t>
  </si>
  <si>
    <t>They don't keep</t>
  </si>
  <si>
    <t>Quick shop/somita dey/R</t>
  </si>
  <si>
    <t>https://drive.google.com/open?id=1Hl2DtrDuQfO4An7IkgEN6z7RaffCNzfK</t>
  </si>
  <si>
    <t>No sell chegaret</t>
  </si>
  <si>
    <t>O Guwahati</t>
  </si>
  <si>
    <t>https://drive.google.com/open?id=1xPSy6Vj5sNXQJAEnGrf9XxL_NNL2whbf</t>
  </si>
  <si>
    <t>They do jot keep but has smoking area</t>
  </si>
  <si>
    <t>Ann agero/jintu boro/R</t>
  </si>
  <si>
    <t>https://drive.google.com/open?id=1XGznTqBh5fTreux3oClMvKYXcwKeSI9P</t>
  </si>
  <si>
    <t>Not sell chegaret</t>
  </si>
  <si>
    <t>Olive Garden/Skar</t>
  </si>
  <si>
    <t>https://drive.google.com/open?id=1ZN-dd8iexg3Gd75xR0jMd1H8YTgfDnpy</t>
  </si>
  <si>
    <t>HOOKAH</t>
  </si>
  <si>
    <t>No cigarette</t>
  </si>
  <si>
    <t>Assam quick santer/sambhu naght shing/</t>
  </si>
  <si>
    <t>https://drive.google.com/open?id=1FEh-9zgkO8z8ONeGNoIGM44FeGx_JwjI</t>
  </si>
  <si>
    <t>Socialite/Skar</t>
  </si>
  <si>
    <t>https://drive.google.com/open?id=18qSe5Wd3HacYtFgVRcZ7gnT8NLu5KdCF</t>
  </si>
  <si>
    <t>Scottish House</t>
  </si>
  <si>
    <t>https://drive.google.com/open?id=10XfVTRORZw61BCgQb8mR7czbgSuTvY9Q</t>
  </si>
  <si>
    <t>ZIPPO LIGHTERS</t>
  </si>
  <si>
    <t>They do not keep</t>
  </si>
  <si>
    <t>Kitchen n bar</t>
  </si>
  <si>
    <t>https://drive.google.com/open?id=1oXC-4xKmzVSR6iZy1Gz55hbq9A_neuDW</t>
  </si>
  <si>
    <t>ROLLING PAPERS</t>
  </si>
  <si>
    <t>Smart pic/rajandra shing/R</t>
  </si>
  <si>
    <t>https://drive.google.com/open?id=1-ZWZIzDWPkxbSnZrBHX_1W5iI1CRM6bj</t>
  </si>
  <si>
    <t>Not selling chegaret</t>
  </si>
  <si>
    <t>Ascend/Skar</t>
  </si>
  <si>
    <t>https://drive.google.com/open?id=1-6TUbVYhlowiGEiteCwuaIooBsIilLWm</t>
  </si>
  <si>
    <t>CIGARETTE, HOOKAH</t>
  </si>
  <si>
    <t>Box with samples</t>
  </si>
  <si>
    <t>Prince supar market/pranob juti deka/R</t>
  </si>
  <si>
    <t>https://drive.google.com/open?id=1ZYjf2n4Kn9kREPlbMAtIGcBZWjJsasDQ</t>
  </si>
  <si>
    <t>No menejar</t>
  </si>
  <si>
    <t>Attic/ Tushar</t>
  </si>
  <si>
    <t>https://drive.google.com/open?id=13Af-bcQSIXCme07ywunPWbMdyqCsJRZV</t>
  </si>
  <si>
    <t>SHUBRAM KAR</t>
  </si>
  <si>
    <t>Gateway Grandeur</t>
  </si>
  <si>
    <t>https://drive.google.com/open?id=1_0KTZeommgOKVm8pNxYP-0KOHsxpFeah</t>
  </si>
  <si>
    <t>Arista/ Deborshi</t>
  </si>
  <si>
    <t>https://drive.google.com/open?id=1WLzjPxK7KhuMtAO0UJc94Q3WQGEIXnSI</t>
  </si>
  <si>
    <t>Later</t>
  </si>
  <si>
    <t>Gharana enterpris/yogesh</t>
  </si>
  <si>
    <t>9864066993y</t>
  </si>
  <si>
    <t>https://drive.google.com/open?id=1T1kV2VivNuxpNXIYHtDvgc3FsBvKYNsM</t>
  </si>
  <si>
    <t>NONE</t>
  </si>
  <si>
    <t>No order</t>
  </si>
  <si>
    <t>RAJU DAS</t>
  </si>
  <si>
    <t>Not sell chegaret and tabacou</t>
  </si>
  <si>
    <t>WARM</t>
  </si>
  <si>
    <t>Bishnujyoti stor /shuru kumar das</t>
  </si>
  <si>
    <t>https://drive.google.com/open?id=1IclQVGyqTFw-V6xZxjP09tpV9XtwHsLF</t>
  </si>
  <si>
    <t>Will ordar next month</t>
  </si>
  <si>
    <t>COLD</t>
  </si>
  <si>
    <t>Maa kamakhya agency/sanjy kumar</t>
  </si>
  <si>
    <t>https://drive.google.com/open?id=1F5HixGtaFKm_ADIujFIQ16Eh0hE8FRfX</t>
  </si>
  <si>
    <t>No</t>
  </si>
  <si>
    <t>Not entered the product</t>
  </si>
  <si>
    <t>Quality shoppe/asifh husain</t>
  </si>
  <si>
    <t>https://drive.google.com/open?id=1YGm5DSmNj9WAvo5lXrxoWsHdy30VGlaM</t>
  </si>
  <si>
    <t>Menejar not available talk tomorrow</t>
  </si>
  <si>
    <t>Fresh busket/miton husain</t>
  </si>
  <si>
    <t>https://drive.google.com/open?id=1RUyk28ONy7EvArvjWB3UQbH_A05e4HOY</t>
  </si>
  <si>
    <t>Talk next week</t>
  </si>
  <si>
    <t>Pariwar supar market /shidgart</t>
  </si>
  <si>
    <t>https://drive.google.com/open?id=1UA8IlWLa5iz0Jzmw9hMUMGbenr_hJ2yW</t>
  </si>
  <si>
    <t>Next week oedar</t>
  </si>
  <si>
    <t>The grocer supar market/ganesh nagun</t>
  </si>
  <si>
    <t>https://drive.google.com/open?id=1qlg6Dc_oOiI16_0vWyjKC7vVXX__7jAH</t>
  </si>
  <si>
    <t>That dont want sell chegaret</t>
  </si>
  <si>
    <t>DEAD</t>
  </si>
  <si>
    <t>Niharika enterprise/nilomoni bhoiso</t>
  </si>
  <si>
    <t>https://drive.google.com/open?id=1Fy9KqsNY1x1lyyRzI-kdSWrsd6-5_90H</t>
  </si>
  <si>
    <t>Will talk manday</t>
  </si>
  <si>
    <t>S K stor / nipon joyti das</t>
  </si>
  <si>
    <t>https://drive.google.com/open?id=1eEjwbMn7kTLxzPMsqDOgYREfXoICASgF</t>
  </si>
  <si>
    <t>Suniya stor/sofiqul islam</t>
  </si>
  <si>
    <t>https://drive.google.com/open?id=1HW9QE-xNLvUu-6g9cViqtcbx-qkMVQrz</t>
  </si>
  <si>
    <t xml:space="preserve">This shop is holselar but baba company all redy give him the proud t
</t>
  </si>
  <si>
    <t>Nayantara supar market/sujit jain</t>
  </si>
  <si>
    <t>https://drive.google.com/open?id=1ckLnj7jhUKxCKhOm5gEvKrETFsIRaauQ</t>
  </si>
  <si>
    <t>Spicy cake and sweets/raju sir</t>
  </si>
  <si>
    <t>https://drive.google.com/open?id=1sorDQ2m7Mhz9SuKPgg0EhhPLpPu4jfFH</t>
  </si>
  <si>
    <t>Not sell</t>
  </si>
  <si>
    <t>Naima stor/mohomd ali</t>
  </si>
  <si>
    <t>https://drive.google.com/open?id=1JP3rpUAIGZgOl5U_Tcil4GUymNxcaDud</t>
  </si>
  <si>
    <t>No oedar talk next month</t>
  </si>
  <si>
    <t>Balaji bhandar/kahanaiya lal</t>
  </si>
  <si>
    <t>https://drive.google.com/open?id=1RV842zYL2juigfj4TUge2RnAj5e1q8Lo</t>
  </si>
  <si>
    <t>Don't want to sell</t>
  </si>
  <si>
    <t>Mollah stor/mahibul ali</t>
  </si>
  <si>
    <t>https://drive.google.com/open?id=1J3MGKB1wp-UFzA4lYempcNMKPVtGDAiP</t>
  </si>
  <si>
    <t>Not gd response</t>
  </si>
  <si>
    <t>Urmi suparmarket/beraj gupta</t>
  </si>
  <si>
    <t>https://drive.google.com/open?id=1Yy2SFGeGehB_nnctUo5L_HJQe6JZ5dTj</t>
  </si>
  <si>
    <t>Will talk next week</t>
  </si>
  <si>
    <t>Anopurna stor /arjun</t>
  </si>
  <si>
    <t>https://drive.google.com/open?id=1aefrZoHf3QmojbV8sQ6D2fOqg_b3CjTt</t>
  </si>
  <si>
    <t>Ganpati fresh dairy/ jintu bornon</t>
  </si>
  <si>
    <t>https://drive.google.com/open?id=18SqwwJnXrad-hGixwszvuoLGGHyI2e_c</t>
  </si>
  <si>
    <t>Talk next week menejar not available</t>
  </si>
  <si>
    <t>Babu bhander/bipul kumar medhi</t>
  </si>
  <si>
    <t>https://drive.google.com/open?id=1P4sE7Lw225eIvaYBsVcCTdyArfkUO3xz</t>
  </si>
  <si>
    <t>No shop keeper</t>
  </si>
  <si>
    <t>Krishna stor/himanshu sinha</t>
  </si>
  <si>
    <t>https://drive.google.com/open?id=1XYVjMXRG9yv6b5tfCAoVblWTiV_pCPON</t>
  </si>
  <si>
    <t xml:space="preserve">Next week talk </t>
  </si>
  <si>
    <t>Handique artist home /prosato handique</t>
  </si>
  <si>
    <t>https://drive.google.com/open?id=1mKbjGtXFYYxBzdwnHXUUqoVZp0Rmdh2g</t>
  </si>
  <si>
    <t>No woner at shop</t>
  </si>
  <si>
    <t>Gupta stor/jitandra sha</t>
  </si>
  <si>
    <t>https://drive.google.com/open?id=1BYAaJP8vE4Ddh-QFl8XMDJABAPdw-j6e</t>
  </si>
  <si>
    <t>Ordr January</t>
  </si>
  <si>
    <t>Shiri ram swees/niku das</t>
  </si>
  <si>
    <t>https://drive.google.com/open?id=1h2QhARU1Z1eqlUMEwt2GmF1B94PCOHyy</t>
  </si>
  <si>
    <t>New sinh stor/dulal das</t>
  </si>
  <si>
    <t>https://drive.google.com/open?id=1Wz22NL4h-eePpnAtosVIvDDzDMkBfy2z</t>
  </si>
  <si>
    <t>It's mart but they don't sell chegaret</t>
  </si>
  <si>
    <t>Anesh enterprise/parthi gosh</t>
  </si>
  <si>
    <t>https://drive.google.com/open?id=1dVU0vARm0UYtN_3jv7DK5CwrZ4FUAQDn</t>
  </si>
  <si>
    <t>He will think and reply next week</t>
  </si>
  <si>
    <t>Shing stor / dhramedra shing</t>
  </si>
  <si>
    <t>https://drive.google.com/open?id=1oPcxsJC8WEKJPc2WtrcqSc8VkXUNoHTc</t>
  </si>
  <si>
    <t>Minarongo stor/minagro bordoli</t>
  </si>
  <si>
    <t>https://drive.google.com/open?id=1tmqaOxx0_ruUlMleOBQRsf5TT7cKet8P</t>
  </si>
  <si>
    <t>Raghuram stor/dhrubo joti das</t>
  </si>
  <si>
    <t>https://drive.google.com/open?id=1Tnf-v-DYhpobf43_SNVnvtJLJna9kWag</t>
  </si>
  <si>
    <t>Not interested</t>
  </si>
  <si>
    <t>Das stor/sanju moni das</t>
  </si>
  <si>
    <t>https://drive.google.com/open?id=1VMovG1HNnHWXjCp5Hcw6eJkeSJQX0Lhk</t>
  </si>
  <si>
    <t>Vegit next month</t>
  </si>
  <si>
    <t>Hr stor /hafijul</t>
  </si>
  <si>
    <t>https://drive.google.com/open?id=1B7UmnGJ6LIIJE9KEXoNc3K_-iqgpUVtG</t>
  </si>
  <si>
    <t>Not entrested owre products only I t c</t>
  </si>
  <si>
    <t>Pariwar suparmart /ratan kumar agrwal</t>
  </si>
  <si>
    <t>https://drive.google.com/open?id=1uP9-FGCFGruZyJxOxPCsflBZXBIzdTkk</t>
  </si>
  <si>
    <t>No owner talk tomorrow</t>
  </si>
  <si>
    <t>ORDER:-PRIME ONE BUNDLE</t>
  </si>
  <si>
    <t>M. S. Gajanand agarwal/shyam agarwal</t>
  </si>
  <si>
    <t>https://drive.google.com/open?id=1myJXsw5Qdny7yC8WybQzHZJmAozElcMg</t>
  </si>
  <si>
    <t>They will talk naxt month</t>
  </si>
  <si>
    <t>Maruti bhandar/bhandari</t>
  </si>
  <si>
    <t>https://drive.google.com/open?id=1amNgBLY8Bf_704gzyKCdkg18GF7mX19I</t>
  </si>
  <si>
    <t>Ezzy bazzar/Radika</t>
  </si>
  <si>
    <t>https://drive.google.com/open?id=1S2bBwpfGO0-JYqn4S9YNt0YytcSBbSRi</t>
  </si>
  <si>
    <t>She wanted to accept owre all products but they want craded</t>
  </si>
  <si>
    <t>Aarohan/</t>
  </si>
  <si>
    <t>https://drive.google.com/open?id=1NcKongfqQLUoO9Z8-xmrisZ0OEubDnVB</t>
  </si>
  <si>
    <t>Not sell any tobacco products</t>
  </si>
  <si>
    <t>Peoples mart/ankit poddar</t>
  </si>
  <si>
    <t>https://drive.google.com/open?id=1Q5zDxSaTLtZl-0SvXmxuQPR7bAlp3_JM</t>
  </si>
  <si>
    <t xml:space="preserve">They want to creded </t>
  </si>
  <si>
    <t>Kibriya mart/chintu deka</t>
  </si>
  <si>
    <t>https://drive.google.com/open?id=1uoZuAJXEP_IRFHB0eeLdwNgwlG_jjTtz</t>
  </si>
  <si>
    <t xml:space="preserve">No manegar </t>
  </si>
  <si>
    <t>D fresh co family mart/</t>
  </si>
  <si>
    <t>https://drive.google.com/open?id=1WrEo0mi3-unaqzyLRB0PbQDsm1LjGIav</t>
  </si>
  <si>
    <t xml:space="preserve">Fresh mart/mernmoy bormon </t>
  </si>
  <si>
    <t>https://drive.google.com/open?id=1PPvmmpGogciSYzlr_88qEbYpQFenLn2C</t>
  </si>
  <si>
    <t>The family shop/</t>
  </si>
  <si>
    <t>https://drive.google.com/open?id=1ALwKrlAm3o6QG1MTz81x8N2W6eInBQPG</t>
  </si>
  <si>
    <t>Very rued behavior and very disgusting person</t>
  </si>
  <si>
    <t>Ma kamakhya retails/</t>
  </si>
  <si>
    <t>https://drive.google.com/open?id=1irFfIyKoBHecOe9XYqVVNLrkC0Qs7pln</t>
  </si>
  <si>
    <t>Bhargab stor/niren kumar</t>
  </si>
  <si>
    <t>https://drive.google.com/open?id=10sw5VPqwej45nPhAgRE0Q5TIXJoYOUkq</t>
  </si>
  <si>
    <t>No ordar next week</t>
  </si>
  <si>
    <t>F D stor /biju</t>
  </si>
  <si>
    <t>https://drive.google.com/open?id=1ZSc4vkTTS4RoxHWuVcMPAx-rTYLhTLo8</t>
  </si>
  <si>
    <t>No ordar talk next week</t>
  </si>
  <si>
    <t>Morom a departmentl stor/Redep boruwa</t>
  </si>
  <si>
    <t>https://drive.google.com/open?id=16Zfu5TN0HsL2_y7W1D8fYqyJcfviplJ8</t>
  </si>
  <si>
    <t>Not sell any tobacco</t>
  </si>
  <si>
    <t>Omraboti stor/m k das</t>
  </si>
  <si>
    <t>https://drive.google.com/open?id=1mvHil0IO7CfMo9NQf-oFUB9a-BpkGhW7</t>
  </si>
  <si>
    <t>Medhi stor/badur medhi</t>
  </si>
  <si>
    <t>https://drive.google.com/open?id=1ODTN-pWcd8k9TBGQc4-lqOZUHbx96EsD</t>
  </si>
  <si>
    <t>No ordar next month</t>
  </si>
  <si>
    <t>Ma bimola stor/aojit das</t>
  </si>
  <si>
    <t>https://drive.google.com/open?id=1nJiWgDZX5uie8o8CKwdqH0oQfsx47xOk</t>
  </si>
  <si>
    <t>Owner not available</t>
  </si>
  <si>
    <t>Making bhandar/rupok das</t>
  </si>
  <si>
    <t>https://drive.google.com/open?id=1pWxVb3bORQJ-Lt9kgV_qmIrsw_dlwx2l</t>
  </si>
  <si>
    <t>Jatinga departmentl stor/joti kolita</t>
  </si>
  <si>
    <t>https://drive.google.com/open?id=1sRAGdElVNuGrYHwHq_AQuzl5g2UxvDgY</t>
  </si>
  <si>
    <t>Ordar 2 bandil mix</t>
  </si>
  <si>
    <t>Das enterprise/heroino</t>
  </si>
  <si>
    <t>https://drive.google.com/open?id=1t6rNx3QH-Ydx6h2ErzqmInFpJYlzksCg</t>
  </si>
  <si>
    <t>M K bhandar/prodip kolita</t>
  </si>
  <si>
    <t>https://drive.google.com/open?id=18e_rgaTur1J3fjuvAuH9Lkm6CJQ-YQCq</t>
  </si>
  <si>
    <t>H2 happy supar market/kandarpo boruwa</t>
  </si>
  <si>
    <t>https://drive.google.com/open?id=1RnclboYaTqQkPpLr40TNuP920plvxWmT</t>
  </si>
  <si>
    <t>Not sell tobacco</t>
  </si>
  <si>
    <t>Archana mart/heronino sharma</t>
  </si>
  <si>
    <t>https://drive.google.com/open?id=1YoLDBP6PQXhBOlcBcUbuEmUZtkZG1mFo</t>
  </si>
  <si>
    <t>Krishna enterprise/molai bhtacharji</t>
  </si>
  <si>
    <t>https://drive.google.com/open?id=1wjrZ2s9XGDzR4iCDrqNYrhbE58BVZRFW</t>
  </si>
  <si>
    <t>RJ enterprise/ jotirmoi Chodury</t>
  </si>
  <si>
    <t>https://drive.google.com/open?id=15Fye2Qvpb6H4F68b7-WNL6WZwSWSKKqA</t>
  </si>
  <si>
    <t>He said lat the product move on To the market than i disaid</t>
  </si>
  <si>
    <t xml:space="preserve">S k stor </t>
  </si>
  <si>
    <t>https://drive.google.com/open?id=1RENqj_GcgamZRF2s9gq-lhPNPg786R5V</t>
  </si>
  <si>
    <t xml:space="preserve">Duli </t>
  </si>
  <si>
    <t>https://drive.google.com/open?id=1OP5_HjyYZdlDuI1tBnfWKPjrcn0UYM3T</t>
  </si>
  <si>
    <t>Bhupali pan bhandar/</t>
  </si>
  <si>
    <t>https://drive.google.com/open?id=19YCsouLClY8atURheY4iiNzrG_OtxCkE</t>
  </si>
  <si>
    <t>Next year</t>
  </si>
  <si>
    <t>Choyonika suparmarket /</t>
  </si>
  <si>
    <t>https://drive.google.com/open?id=1pfZEfNBCNXN9r6-HAPHZH7jhXMz6KiGp</t>
  </si>
  <si>
    <t>Suranjana store/Diraj da</t>
  </si>
  <si>
    <t>https://drive.google.com/open?id=17UnjNCVXu3gzauwD55BfpXyF2OybhJXu</t>
  </si>
  <si>
    <t>Thakuriya store/</t>
  </si>
  <si>
    <t>https://drive.google.com/open?id=15NuP8uGxZhOZye9Y31UGhFmBIqkPSCtO</t>
  </si>
  <si>
    <t>Not ordar next year</t>
  </si>
  <si>
    <t>J C mart/jun choudhary</t>
  </si>
  <si>
    <t>https://drive.google.com/open?id=1X7cUgijb5jFC8LGzNurgb0AHnoM6SVz4</t>
  </si>
  <si>
    <t>Signature supar market/</t>
  </si>
  <si>
    <t>https://drive.google.com/open?id=1leKis9bGe9lWCFxJ0iFklYlcHIvGkkWo</t>
  </si>
  <si>
    <t>Thay want 45 days credit</t>
  </si>
  <si>
    <t>Ahaana bazaar</t>
  </si>
  <si>
    <t>https://drive.google.com/open?id=1hfaZf3NW3Av82pMs63-Fi2g2yRRVxvGF</t>
  </si>
  <si>
    <t>Bornali stor/kishor deka</t>
  </si>
  <si>
    <t>https://drive.google.com/open?id=1OX6YymNyYW6AZUgGhh-tFf3vzo-WVUZX</t>
  </si>
  <si>
    <t>Harimaya store /jitu</t>
  </si>
  <si>
    <t>https://drive.google.com/open?id=1AqPhdebmDQKd8Z25rdPWXFWzU7QYygpQ</t>
  </si>
  <si>
    <t>Ordar</t>
  </si>
  <si>
    <t>Mix ordar 1 baldil</t>
  </si>
  <si>
    <t>Banik stor/krishna bonik</t>
  </si>
  <si>
    <t>https://drive.google.com/open?id=1X0mRqLLcdTdwPvoz_vE3WDkLu6VJaHkd</t>
  </si>
  <si>
    <t>No owner</t>
  </si>
  <si>
    <t>S B traders</t>
  </si>
  <si>
    <t>https://drive.google.com/open?id=1R8s8HIW2_8dvAJq3gtlhQPS4b6xa2OrU</t>
  </si>
  <si>
    <t>Hari panbhandar</t>
  </si>
  <si>
    <t>https://drive.google.com/open?id=1x9BLWh2mOv1mfWIcgfEJvUh9fOjvfmeQ</t>
  </si>
  <si>
    <t>Gloden mart/avijit hajorika</t>
  </si>
  <si>
    <t>https://drive.google.com/open?id=1M5Hauz1aBLWayiVQnLtlOMjM9x3FoWe-</t>
  </si>
  <si>
    <t>Next years</t>
  </si>
  <si>
    <t>New L B store/ratan pal</t>
  </si>
  <si>
    <t>https://drive.google.com/open?id=1XS3yY2xdWCsiQ_IwRa4jB8b3NB9riiFf</t>
  </si>
  <si>
    <t>Not entrested next year</t>
  </si>
  <si>
    <t>Kalita store/digonto kolita</t>
  </si>
  <si>
    <t>https://drive.google.com/open?id=1ejB-TrIbew2v7qUQ2CTaQ5Tg1p1B6ajl</t>
  </si>
  <si>
    <t>Next  year</t>
  </si>
  <si>
    <t>Rishab enterprise</t>
  </si>
  <si>
    <t>https://drive.google.com/open?id=1Y2-XZ4GgaYkrwMGI72z8YiIzS-OypC5R</t>
  </si>
  <si>
    <t>Purno nirman store</t>
  </si>
  <si>
    <t>https://drive.google.com/open?id=144f1h7fUlsRrPeQROa_PatB8XQvP_UZe</t>
  </si>
  <si>
    <t>Pushpa store</t>
  </si>
  <si>
    <t>https://drive.google.com/open?id=13CKANe1dWm9Mk9wFI4XcSWBGP7YqTKlg</t>
  </si>
  <si>
    <t>The bink's mart</t>
  </si>
  <si>
    <t>https://drive.google.com/open?id=1Sf3jsQ_PGQ50FoMQmFvHpNQol9P-f-Ts</t>
  </si>
  <si>
    <t>Grocery &amp; general stoer</t>
  </si>
  <si>
    <t>https://drive.google.com/open?id=18949QYgxBDicqyweBC59-1GiEuUnBs2k</t>
  </si>
  <si>
    <t>No owner talk next week</t>
  </si>
  <si>
    <t>TMR</t>
  </si>
  <si>
    <t>https://drive.google.com/open?id=1fomt5n6LH-OT1eL2YOcu3mzmrd7xStES</t>
  </si>
  <si>
    <t>CIGARS</t>
  </si>
  <si>
    <t>Checking the humidor</t>
  </si>
  <si>
    <t xml:space="preserve">Balaji mart </t>
  </si>
  <si>
    <t>https://drive.google.com/open?id=1FVjtvX4D4PjwIuZMUvy0e_7Ey8OadMIZ</t>
  </si>
  <si>
    <t>Shree krishna store/</t>
  </si>
  <si>
    <t>https://drive.google.com/open?id=1UnEFaPN-pdvcf57NAk1XFSDwTqQpvt_Y</t>
  </si>
  <si>
    <t>Dineway/kuldeep</t>
  </si>
  <si>
    <t>https://drive.google.com/open?id=10KLYKw6lGRXybPIqxi33OwK9XCjy-oJf</t>
  </si>
  <si>
    <t>Don't keep ciggarettes</t>
  </si>
  <si>
    <t xml:space="preserve">Bormon brothers </t>
  </si>
  <si>
    <t>https://drive.google.com/open?id=1G46qk3cU1bhcIJSElZpssvdBiaAJMcFC</t>
  </si>
  <si>
    <t>Palacio</t>
  </si>
  <si>
    <t>https://drive.google.com/open?id=1rPdUbkfx-Vu3YGhrDuPsVyS1-G2Se9XN</t>
  </si>
  <si>
    <t>CIGARETTE, CIGARS, HOOKAH</t>
  </si>
  <si>
    <t>Came for payment and humidor check</t>
  </si>
  <si>
    <t>Mohan store</t>
  </si>
  <si>
    <t>https://drive.google.com/open?id=1dIi63KZyDban8j-Klo48-Z8I4gO-yllj</t>
  </si>
  <si>
    <t>Next week</t>
  </si>
  <si>
    <t>Nyx</t>
  </si>
  <si>
    <t>https://drive.google.com/open?id=17W1kC7xRKiokz_aCcBO-OPJlCAhTmwPK</t>
  </si>
  <si>
    <t>Cigars</t>
  </si>
  <si>
    <t>Humidor check/payment check and done/order collection</t>
  </si>
  <si>
    <t>HOT</t>
  </si>
  <si>
    <t>BCom paanwala</t>
  </si>
  <si>
    <t>https://drive.google.com/open?id=1BkTIVHWBPFcFZJtRyH97i8DGgglSiiXi</t>
  </si>
  <si>
    <t>Order in Jan</t>
  </si>
  <si>
    <t>Tiwari store</t>
  </si>
  <si>
    <t>https://drive.google.com/open?id=1GfYVifaITa8g_8BAEpoLyi7toIrgRLiR</t>
  </si>
  <si>
    <t>Vivanta/Ranju</t>
  </si>
  <si>
    <t>https://drive.google.com/open?id=1vvQJYTo1HpGisfD7DMpTbS0pVeWOWcqk</t>
  </si>
  <si>
    <t>Meeting after the NYE</t>
  </si>
  <si>
    <t>Rintu store/rintu</t>
  </si>
  <si>
    <t>https://drive.google.com/open?id=1HQsXW6Gg7NPsFBc0tjLczmJzibekSrLL</t>
  </si>
  <si>
    <t>Vibe House</t>
  </si>
  <si>
    <t>https://drive.google.com/open?id=1W_oRuHf3QgWiNv92BzJwa5M6cjzDITbE</t>
  </si>
  <si>
    <t>Don't keep cigarettes</t>
  </si>
  <si>
    <t>Pallabi enterprise</t>
  </si>
  <si>
    <t>https://drive.google.com/open?id=1g4IWlT_ZwoEdQHW3jIzrw_c7uWWGcbQx</t>
  </si>
  <si>
    <t>Sicedm/bipul tlukdar</t>
  </si>
  <si>
    <t>https://drive.google.com/open?id=1L7oQIdCyKoMJ4ezswAGKUFV8F7oy0DS7</t>
  </si>
  <si>
    <t>Hendrix/soilen deuri</t>
  </si>
  <si>
    <t>https://drive.google.com/open?id=17wnR6EqCUdMYUoUnWchkDznhgCj2-NuN</t>
  </si>
  <si>
    <t>Don't keep</t>
  </si>
  <si>
    <t>Kamdhenu enterprise/</t>
  </si>
  <si>
    <t>https://drive.google.com/open?id=169iKa2Kb2Kqri-uE_pjRomKD6H3pN2py</t>
  </si>
  <si>
    <t>Shree annapurna bhandar</t>
  </si>
  <si>
    <t>https://drive.google.com/open?id=1ChRMXXAY2Ceqvpll5yl5SX5GYGs2lQxA</t>
  </si>
  <si>
    <t>18DT/Bhaskar</t>
  </si>
  <si>
    <t>https://drive.google.com/open?id=1kvA3K1wm-bsSThAAqIeEn-3Af9bsAv_W</t>
  </si>
  <si>
    <t>Awaiting meet now</t>
  </si>
  <si>
    <t>Square/Bhaskar</t>
  </si>
  <si>
    <t>https://drive.google.com/open?id=1Twzmd0AbtS3Y2OZfAdIrldidOc-rdDRH</t>
  </si>
  <si>
    <t>Will sit for meet now</t>
  </si>
  <si>
    <t>S R minimart/ ritu shing</t>
  </si>
  <si>
    <t>https://drive.google.com/open?id=1ToD74IeMDrv4Mwan9jVFV0Al9KwJfzEv</t>
  </si>
  <si>
    <t>Rang De Basanti/Bappy Sinha</t>
  </si>
  <si>
    <t>https://drive.google.com/open?id=1rWLZxifZxfnANx4SEtkNKtxVwO36U_nU</t>
  </si>
  <si>
    <t>No tobacco</t>
  </si>
  <si>
    <t>Mixers &amp; More/Debo</t>
  </si>
  <si>
    <t>https://drive.google.com/open?id=1JPEXw8W6TpmtuSuW359sZZRxBAvYyeDt</t>
  </si>
  <si>
    <t>ROLLING PAPERS, CIGARS</t>
  </si>
  <si>
    <t>Order taken</t>
  </si>
  <si>
    <t>Deliver tomorrow</t>
  </si>
  <si>
    <t>Sarma store</t>
  </si>
  <si>
    <t>https://drive.google.com/open?id=1JGl8jzkW3eHToaDiWWt99IQLWQzqHqoT</t>
  </si>
  <si>
    <t>Patel store</t>
  </si>
  <si>
    <t>https://drive.google.com/open?id=1JSPTTNRrIQ8TnPskKZHqTTQJ7KTyETrU</t>
  </si>
  <si>
    <t>Ordar sim jim</t>
  </si>
  <si>
    <t>Devien store</t>
  </si>
  <si>
    <t>https://drive.google.com/open?id=1X8FIAS1BAS5ayISVTD0n_NBQK1XVEjrs</t>
  </si>
  <si>
    <t>Slim Jim ordar</t>
  </si>
  <si>
    <t>Manju store</t>
  </si>
  <si>
    <t>https://drive.google.com/open?id=1JqMC6Gj5-VmUQy8qUy4mfooMv4ZRkNow</t>
  </si>
  <si>
    <t>XS/Ronjon</t>
  </si>
  <si>
    <t>https://drive.google.com/open?id=1g6PtEnsd4D2LBfr-I6XLPZw-Jtt-FJh0</t>
  </si>
  <si>
    <t>They will look into it</t>
  </si>
  <si>
    <t>Mocha/Ashish</t>
  </si>
  <si>
    <t>https://drive.google.com/open?id=1--OEXqY0k4yCgpUdLqDH_uYBRZvRifZA</t>
  </si>
  <si>
    <t>Will speak to owner</t>
  </si>
  <si>
    <t>Mridul pan bhandar</t>
  </si>
  <si>
    <t>https://drive.google.com/open?id=1SRHlgEiV7qxGT0dr8-sdTOKEMmsgT_fx</t>
  </si>
  <si>
    <t>No owner call 3 pm</t>
  </si>
  <si>
    <t>Zip N go</t>
  </si>
  <si>
    <t>https://drive.google.com/open?id=1Sddfe3IOGQGHdxdzVliOtZCQU4v5XqP3</t>
  </si>
  <si>
    <t>B S pan shop/majum ali</t>
  </si>
  <si>
    <t>https://drive.google.com/open?id=14rX6YLP7JDgJ9jJ9qSUFgs8yskYTcEnJ</t>
  </si>
  <si>
    <t>Yes</t>
  </si>
  <si>
    <t>Mix ordar</t>
  </si>
  <si>
    <t>Vinayak suparmarket/</t>
  </si>
  <si>
    <t>https://drive.google.com/open?id=1PXv1L_vAi5cgMjFHt2uq22oVWhcVk5b7</t>
  </si>
  <si>
    <t>M  S biraja enterprise</t>
  </si>
  <si>
    <t>https://drive.google.com/open?id=1RJjAX7tAL9JmVgJ_K77ICJy7LSlu_qci</t>
  </si>
  <si>
    <t xml:space="preserve">Next year </t>
  </si>
  <si>
    <t>Bharti store</t>
  </si>
  <si>
    <t>https://drive.google.com/open?id=1BX7M-LjkZlIK1vgxK_dF8-we5p7_ayC6</t>
  </si>
  <si>
    <t>Not sell chegare</t>
  </si>
  <si>
    <t>Avinandan store</t>
  </si>
  <si>
    <t>https://drive.google.com/open?id=1SiIhjqTWkixkAj4Cepi2hrGqaC-EHwTM</t>
  </si>
  <si>
    <t>P D store</t>
  </si>
  <si>
    <t>https://drive.google.com/open?id=19WkC05-t73NUNF5HhSKjOJgc-HTnzfc8</t>
  </si>
  <si>
    <t>Laximi narayan store</t>
  </si>
  <si>
    <t>https://drive.google.com/open?id=1zrESNAM1-wPKEkdDSZTRUWkE5Aq-W1dZ</t>
  </si>
  <si>
    <t>Shivam variety store</t>
  </si>
  <si>
    <t>https://drive.google.com/open?id=1Ldqr4PRcjrkPw6ZoVNwPFci1QXSApX0j</t>
  </si>
  <si>
    <t>New manasi store</t>
  </si>
  <si>
    <t>https://drive.google.com/open?id=1VouV6s8zvD4eiDde1IX-1ZxA-lcSqHm5</t>
  </si>
  <si>
    <t>Oneness store</t>
  </si>
  <si>
    <t>https://drive.google.com/open?id=1rSgsER_qREQxMMxerFuJwl7nv8Kl-kLv</t>
  </si>
  <si>
    <t>Not now after some time</t>
  </si>
  <si>
    <t>Shaikh brothers</t>
  </si>
  <si>
    <t>https://drive.google.com/open?id=1gMbneoBC2T__QG7-Io7FIoSDZeo-Lcgu</t>
  </si>
  <si>
    <t>Over d counter departmentl stor</t>
  </si>
  <si>
    <t>https://drive.google.com/open?id=1zGRju8q7cjlUZe5ZsmrZGJ3TOuKe2sXI</t>
  </si>
  <si>
    <t>Next year he will think</t>
  </si>
  <si>
    <t>Gogoi store</t>
  </si>
  <si>
    <t>Don't give number</t>
  </si>
  <si>
    <t>https://drive.google.com/open?id=1YZZeGOzSR8TeAsnayBXaZQsnAgmgrDw7</t>
  </si>
  <si>
    <t>Tasko suparmarket</t>
  </si>
  <si>
    <t>https://drive.google.com/open?id=1avaqxNMin1g4cq2NelZO1z6LdC-Y22g7</t>
  </si>
  <si>
    <t>Not sell chegaret or any tobacco itm</t>
  </si>
  <si>
    <t>Sunrise store/bsumatry</t>
  </si>
  <si>
    <t>https://drive.google.com/open?id=1h6Gt3BlO_Zd6DQ3_YeluRrtwJqgJ3NKc</t>
  </si>
  <si>
    <t>Anamika store</t>
  </si>
  <si>
    <t>https://drive.google.com/open?id=1dw9w5ejHNL4QDvWG6qKq4lBR9CEY3XUS</t>
  </si>
  <si>
    <t>Mom &amp; dad's store</t>
  </si>
  <si>
    <t>https://drive.google.com/open?id=1yJ_KofTyTdcI8Z4o0KOIWT7A87_nnxBi</t>
  </si>
  <si>
    <t>Joypur Dryfruit sweets</t>
  </si>
  <si>
    <t>https://drive.google.com/open?id=1YpkCtwnJ5OnvX7uE_cEO8IdmBYOQfmIl</t>
  </si>
  <si>
    <t>Maa tara store</t>
  </si>
  <si>
    <t>https://drive.google.com/open?id=18mEjhSwh7riH7G5D8F36DIbCfKDFpGHD</t>
  </si>
  <si>
    <t>Next month he will disaid</t>
  </si>
  <si>
    <t>Pande store</t>
  </si>
  <si>
    <t>https://drive.google.com/open?id=1hFhXalQWyMq8aP6j_O-g1byDGkN446ya</t>
  </si>
  <si>
    <t>Zoo road shopping corner</t>
  </si>
  <si>
    <t>https://drive.google.com/open?id=1tCEjNNW6idzNaECky6gcTjlQB0fmIpIE</t>
  </si>
  <si>
    <t>D S bhandar/priyank das</t>
  </si>
  <si>
    <t>https://drive.google.com/open?id=1sxIg_ke5sdrID36fwHtJzZdt96ESUV--</t>
  </si>
  <si>
    <t>He said come next month</t>
  </si>
  <si>
    <t>Aita cfa</t>
  </si>
  <si>
    <t>https://drive.google.com/open?id=1aHeULWxvYI6VjagwNcbKiK2bwBHrAFvi</t>
  </si>
  <si>
    <t>He is think next week</t>
  </si>
  <si>
    <t>Shree kanha's grocery</t>
  </si>
  <si>
    <t>Not given number</t>
  </si>
  <si>
    <t>https://drive.google.com/open?id=1sOBNo8jNuvYhXwG2LIp9PIGZfiQ_lwFQ</t>
  </si>
  <si>
    <t>M prasad store</t>
  </si>
  <si>
    <t>Not give</t>
  </si>
  <si>
    <t>https://drive.google.com/open?id=1499nWUV8dHrWVlEq1Yx6zFYUNcS_shYa</t>
  </si>
  <si>
    <t>Daya moyee store</t>
  </si>
  <si>
    <t>https://drive.google.com/open?id=11PbPRoAylUytm-fQVZGo4BiOht4IXHqa</t>
  </si>
  <si>
    <t>No other</t>
  </si>
  <si>
    <t>Pankaj store</t>
  </si>
  <si>
    <t>https://drive.google.com/open?id=10-G1T1m91J1ChT6LZFHl_YX6A0ZJxuGB</t>
  </si>
  <si>
    <t>Not now after running this products market than he will thisid</t>
  </si>
  <si>
    <t>Paul brothers</t>
  </si>
  <si>
    <t>https://drive.google.com/open?id=1adWh_m5alrkYZ0y94gCOvjVYRtgVcg7L</t>
  </si>
  <si>
    <t>Prosant pan shop</t>
  </si>
  <si>
    <t>https://drive.google.com/open?id=1MapqeL9_e0p2k-dyb4DwO06mQo--rO2p</t>
  </si>
  <si>
    <t>Farst the product running in this market than i will thisaied</t>
  </si>
  <si>
    <t xml:space="preserve">Biswajit bhandar </t>
  </si>
  <si>
    <t>https://drive.google.com/open?id=10O_JCH-FxmQ6aGFBNGNpAs7i91Vb-cpU</t>
  </si>
  <si>
    <t>Not ordar</t>
  </si>
  <si>
    <t>Only itc product he sell no other brand</t>
  </si>
  <si>
    <t>Mangal murti varieties</t>
  </si>
  <si>
    <t>He not given the number</t>
  </si>
  <si>
    <t>https://drive.google.com/open?id=1arOVkFW-gJ1fMzSWFCoN9dyOHJ3Uejse</t>
  </si>
  <si>
    <t>Not sell chegaret or any tobacco products</t>
  </si>
  <si>
    <t>Bikash store</t>
  </si>
  <si>
    <t>https://drive.google.com/open?id=1FFRGcXrS4uK688cOigTy2mBW-8WhGN6n</t>
  </si>
  <si>
    <t>Not sell chegaret because his shop is front of school</t>
  </si>
  <si>
    <t>Dutta brothers</t>
  </si>
  <si>
    <t>https://drive.google.com/open?id=148rV9VYbrl6QOB1K7fm-l64rqCRKqJWO</t>
  </si>
  <si>
    <t>Rashan haat</t>
  </si>
  <si>
    <t>https://drive.google.com/open?id=1wQc45xeqY7QwnNOTF-enDq9GFKNzVnuv</t>
  </si>
  <si>
    <t xml:space="preserve">Barmon store </t>
  </si>
  <si>
    <t>Not give number</t>
  </si>
  <si>
    <t>https://drive.google.com/open?id=1i5cydE5saS5DwT6UM2a6B0PkkTfa8WVP</t>
  </si>
  <si>
    <t>Bishal ayush bhandar/bishal</t>
  </si>
  <si>
    <t>https://drive.google.com/open?id=1g1ZvTYsBkLsnh1O_mglC240bVGXevzyF</t>
  </si>
  <si>
    <t>He call me on junery</t>
  </si>
  <si>
    <t>Sikha store</t>
  </si>
  <si>
    <t>https://drive.google.com/open?id=1kUs96qzz65pIlZYTksSvlzKanAEV6Duk</t>
  </si>
  <si>
    <t>New moni store/sunny</t>
  </si>
  <si>
    <t>https://drive.google.com/open?id=1D2n6mW7dLtcOYDTeithxwuphG8hFGagd</t>
  </si>
  <si>
    <t>No other after same time</t>
  </si>
  <si>
    <t>Kumar store/ajibur ali</t>
  </si>
  <si>
    <t>https://drive.google.com/open?id=1-iNvxRyyYyNEjcBfl70i_y4YEawIHblN</t>
  </si>
  <si>
    <t>Not now next year</t>
  </si>
  <si>
    <t>Ms K R enterprise/</t>
  </si>
  <si>
    <t>https://drive.google.com/open?id=1-0wyoHPfHO5fhJD46bCt700cWs4jGpHL</t>
  </si>
  <si>
    <t>No ordar he will disied next year</t>
  </si>
  <si>
    <t>J J enterprise</t>
  </si>
  <si>
    <t>https://drive.google.com/open?id=1igC5to6_cnM_uRn5PLPtLrqmlwp94kg2</t>
  </si>
  <si>
    <t>He not sell important products</t>
  </si>
  <si>
    <t>Ganesh store</t>
  </si>
  <si>
    <t>https://drive.google.com/open?id=1J6VHMXBUgw1anQPt-P1zL1RZ5jORNmiz</t>
  </si>
  <si>
    <t xml:space="preserve">Next month </t>
  </si>
  <si>
    <t>Maa kamakhya bhandar</t>
  </si>
  <si>
    <t>https://drive.google.com/open?id=1tEoTfYEHzsJF8UHE_HnZk2oh0q4sxc2x</t>
  </si>
  <si>
    <t>He saied farst running the product in market than i take ur product</t>
  </si>
  <si>
    <t>H enterprise</t>
  </si>
  <si>
    <t>https://drive.google.com/open?id=1ZOm6tvjMVCDr-_JLxJyI_q52MLYom2Qm</t>
  </si>
  <si>
    <t>He is not interested our product</t>
  </si>
  <si>
    <t>Muskan pan shop</t>
  </si>
  <si>
    <t>https://drive.google.com/open?id=1kcrwKC2pRWQAkzURRiAzk6JvwABZes58</t>
  </si>
  <si>
    <t>CIGARETTE, ROLLING PAPERS, HOOKAH, ZIPPO LIGHTERS</t>
  </si>
  <si>
    <t>No owner talk next</t>
  </si>
  <si>
    <t>A one departmental store</t>
  </si>
  <si>
    <t>https://drive.google.com/open?id=1MT28V2oi7DUdESSrzHIrVnkpZF1Tt8Sd</t>
  </si>
  <si>
    <t>This shop will be closed jeunry month no parses any products</t>
  </si>
  <si>
    <t>M B store</t>
  </si>
  <si>
    <t>https://drive.google.com/open?id=16X9Nmgo5RwwD9_r6SZxh4_3BSEwvlAcu</t>
  </si>
  <si>
    <t>Rishab store/ r k shing</t>
  </si>
  <si>
    <t>https://drive.google.com/open?id=13wPwNu8Frb91s_AZqkjzDuhlsor92Nrf</t>
  </si>
  <si>
    <t xml:space="preserve">No ordar </t>
  </si>
  <si>
    <t>Ms all pan shop</t>
  </si>
  <si>
    <t>He not give number</t>
  </si>
  <si>
    <t>https://drive.google.com/open?id=1-4Yv1ff5V9ymXOz9Gy-M7meR9M5ovwco</t>
  </si>
  <si>
    <t>He said no new product by right now</t>
  </si>
  <si>
    <t>B K pan shop</t>
  </si>
  <si>
    <t>https://drive.google.com/open?id=1-Uji_iVsjJLp0XdyhR7AF_Szfi3nDLJs</t>
  </si>
  <si>
    <t>CIGARETTE, ROLLING PAPERS</t>
  </si>
  <si>
    <t>No ordar today after some time</t>
  </si>
  <si>
    <t>Om brothers</t>
  </si>
  <si>
    <t>https://drive.google.com/open?id=1GLu__77IW-H11YNZOaStunr_CSNae8c5</t>
  </si>
  <si>
    <t>Gaytri store</t>
  </si>
  <si>
    <t>https://drive.google.com/open?id=129MTCnFi-Q02oWH_ZRlxEKz4P4t7OtmE</t>
  </si>
  <si>
    <t>Not now aftare sell this chegaret market than i take</t>
  </si>
  <si>
    <t>Maruti enterprise</t>
  </si>
  <si>
    <t>https://drive.google.com/open?id=17pwEnAWlxFeWAO0zNqUuiL2KIp1ncMrk</t>
  </si>
  <si>
    <t>He said farst retail market available than i take ur product</t>
  </si>
  <si>
    <t>Chaudhary bhandar</t>
  </si>
  <si>
    <t>https://drive.google.com/open?id=173bDBEd0uGhuGU8aHPQvCROV92Iiqk7O</t>
  </si>
  <si>
    <t>No ordar next time</t>
  </si>
  <si>
    <t>Ganpati agency house</t>
  </si>
  <si>
    <t>https://drive.google.com/open?id=1hemEPbEyiS3WdZa-5Ha_K0haQR8g6LpC</t>
  </si>
  <si>
    <t>Kumar store</t>
  </si>
  <si>
    <t>https://drive.google.com/open?id=17tbvwTAFw2cUxx2tBHp4br9V6J4lwkkk</t>
  </si>
  <si>
    <t>Muntaz store</t>
  </si>
  <si>
    <t>https://drive.google.com/open?id=1J5bPDhYW2zB0I7pZgMCHZA2aTvm7fpU1</t>
  </si>
  <si>
    <t>😭</t>
  </si>
  <si>
    <t>Jahidul store</t>
  </si>
  <si>
    <t>https://drive.google.com/open?id=1KBYLb3tkhHYFdYiAlStXCXdKY0SmQZ6C</t>
  </si>
  <si>
    <t>Not interested next month</t>
  </si>
  <si>
    <t>Das store</t>
  </si>
  <si>
    <t>https://drive.google.com/open?id=1ThgLXSv8g-abtG5cWWH-0j2oetC1slWD</t>
  </si>
  <si>
    <t>Prime mart</t>
  </si>
  <si>
    <t>https://drive.google.com/open?id=1X0MqI4BSVr6agnDVncwf7JKW5Bs6LFeT</t>
  </si>
  <si>
    <t>Amrita store</t>
  </si>
  <si>
    <t>https://drive.google.com/open?id=1pWP0tzhYxMRJNuEP-TCQMMvG4v3VDCVB</t>
  </si>
  <si>
    <t>No ordar next last 3 month</t>
  </si>
  <si>
    <t>Ms maa bogola enterprise</t>
  </si>
  <si>
    <t>https://drive.google.com/open?id=1eMmCHmTv2mBLIug4UlrwAffMeMmRd6by</t>
  </si>
  <si>
    <t>He is not interested the product</t>
  </si>
  <si>
    <t>Balaji store/Samsul</t>
  </si>
  <si>
    <t>https://drive.google.com/open?id=1a5BIn2OkkCV4T5znQ9kpih6MD9kdIzYY</t>
  </si>
  <si>
    <t>Not now after running this product on market than i thik</t>
  </si>
  <si>
    <t>Bablu store</t>
  </si>
  <si>
    <t>https://drive.google.com/open?id=1jGXKRm9KelD-Zb-feJpuE0w-Cv4-jpaE</t>
  </si>
  <si>
    <t>Gouri store</t>
  </si>
  <si>
    <t>https://drive.google.com/open?id=1Z4uOiC1TXofXmKyX7wTzuU0Nvapc-Jux</t>
  </si>
  <si>
    <t>No ordar today</t>
  </si>
  <si>
    <t>Puja enterprise</t>
  </si>
  <si>
    <t>https://drive.google.com/open?id=1HqWF5uPJ1Vly0JUDgPDBCeDYdgv5pgB6</t>
  </si>
  <si>
    <t>Connected home</t>
  </si>
  <si>
    <t>https://drive.google.com/open?id=1QKzdv1yTkKR0Glps82ab3T1yYnYlDUSz</t>
  </si>
  <si>
    <t>Urmi suparmarket</t>
  </si>
  <si>
    <t>https://drive.google.com/open?id=1S6ZlICdwc4d_F008CG_L0291eYXOqT0E</t>
  </si>
  <si>
    <t>Talk with manegar  farst he see ouer product than he will this case</t>
  </si>
  <si>
    <t>Prempuri store</t>
  </si>
  <si>
    <t>https://drive.google.com/open?id=1uRYedap33ab7axWaqFEx36Z3qXUgZyX-</t>
  </si>
  <si>
    <t>Ssk mart</t>
  </si>
  <si>
    <t>https://drive.google.com/open?id=1APuuroYRLqsgxHbMcLfZxgqAR9HKxDJO</t>
  </si>
  <si>
    <t>Daily needs</t>
  </si>
  <si>
    <t>https://drive.google.com/open?id=1r8uJn6eOVbKa_URkYEzDzgQcwaWK8zY9</t>
  </si>
  <si>
    <t>Sd pan shop</t>
  </si>
  <si>
    <t>https://drive.google.com/open?id=1doaxUGqTwC4k9tM3lYkc3EfS1vOB5AMY</t>
  </si>
  <si>
    <t>Hot spot</t>
  </si>
  <si>
    <t>https://drive.google.com/open?id=1wfOBcHtL33UTC1vi22weZI0Bcu1Fzh_R</t>
  </si>
  <si>
    <t>Metro mart</t>
  </si>
  <si>
    <t>https://drive.google.com/open?id=12bl1N7UIvMTIunxaoblX1W_9r59aGnFr</t>
  </si>
  <si>
    <t>NO</t>
  </si>
  <si>
    <t>Food mafiya</t>
  </si>
  <si>
    <t>https://drive.google.com/open?id=1Vxpt07kq7XvrdnoZELJoi7HR5JGLOhrm</t>
  </si>
  <si>
    <t>NEW VISIT</t>
  </si>
  <si>
    <t>https://drive.google.com/open?id=1R-nVhtwkTxYDN4-ls_Rv-y82RoCjipnl</t>
  </si>
  <si>
    <t>RE VISIT</t>
  </si>
  <si>
    <t>Martini the bar</t>
  </si>
  <si>
    <t>https://drive.google.com/open?id=1mbvPIqsFIqiIfT3ajfcV0MD3WvpeAai2</t>
  </si>
  <si>
    <t>No mnegar</t>
  </si>
  <si>
    <t>People's mart</t>
  </si>
  <si>
    <t>https://drive.google.com/open?id=1gzt-KqeX5AW0w_AyocieeHcrGXtPtfiC</t>
  </si>
  <si>
    <t>Exoro bar</t>
  </si>
  <si>
    <t>https://drive.google.com/open?id=187Dq9_EkCJPbBfsbOANmbPKNi8h1RS5P</t>
  </si>
  <si>
    <t xml:space="preserve">Elevate bar </t>
  </si>
  <si>
    <t>https://drive.google.com/open?id=1BB4Mh-wB_J_b68DjeYq1YZb3bfU32rhQ</t>
  </si>
  <si>
    <t>Talk after some time</t>
  </si>
  <si>
    <t>Typically Indian bar</t>
  </si>
  <si>
    <t>https://drive.google.com/open?id=1RyxMO5iYG8fXINzA-2vFgc3ok08Eu0z7</t>
  </si>
  <si>
    <t>He will this cus to owner</t>
  </si>
  <si>
    <t>Bombay barsserie bar</t>
  </si>
  <si>
    <t>https://drive.google.com/open?id=1h6kKM2wd7TJENONN4_Rd_gTH1FHOHpQM</t>
  </si>
  <si>
    <t xml:space="preserve">House of madira bar </t>
  </si>
  <si>
    <t>https://drive.google.com/open?id=1YPZLwsZj8bvRvygzB8JxDhO6_k-Bn5rR</t>
  </si>
  <si>
    <t>He said talk owner</t>
  </si>
  <si>
    <t>Pirates of grill</t>
  </si>
  <si>
    <t>https://drive.google.com/open?id=1fBVI7I1Xuv-s0wGPC2ITYUAcqBPaw32Z</t>
  </si>
  <si>
    <t>Not sell chegaret and no somking areya</t>
  </si>
  <si>
    <t>Freemason's bar</t>
  </si>
  <si>
    <t>https://drive.google.com/open?id=1sT-IOX-YxMUPHQlhBGVJjg91YVsnT4ex</t>
  </si>
  <si>
    <t>Re vejit</t>
  </si>
  <si>
    <t>Dhaba</t>
  </si>
  <si>
    <t>03612961111</t>
  </si>
  <si>
    <t>https://drive.google.com/open?id=1S7iAnepECAJdD0JfNayAdxJsBpEJt3fu</t>
  </si>
  <si>
    <t>Kamrupa bar</t>
  </si>
  <si>
    <t>https://drive.google.com/open?id=194LpLUpTV3ejIv5hkQSNSEx7YHxlXGdZ</t>
  </si>
  <si>
    <t>After some time</t>
  </si>
  <si>
    <t>Lure fisherman's dock bar</t>
  </si>
  <si>
    <t>https://drive.google.com/open?id=1Z6urUstg0OE98OisXzSWrk2mo4erXUDG</t>
  </si>
  <si>
    <t>Ma Khana khya retails</t>
  </si>
  <si>
    <t>Nana</t>
  </si>
  <si>
    <t>https://drive.google.com/open?id=1tztSLcrFJEHwGAhnK-NswM1TX1qsqT3Y</t>
  </si>
  <si>
    <t>Hggh</t>
  </si>
  <si>
    <t>O D C  department store</t>
  </si>
  <si>
    <t>Bsbd</t>
  </si>
  <si>
    <t>https://drive.google.com/open?id=1YURMqRvw72zz_NnbnnhchiNzB032BHC1</t>
  </si>
  <si>
    <t>Broncco bar</t>
  </si>
  <si>
    <t>https://drive.google.com/open?id=1lcgO4EsrhjejuQSYN6HPvwDsPpUz5T7s</t>
  </si>
  <si>
    <t>He will talk with manegar</t>
  </si>
  <si>
    <t>Vapourr bar</t>
  </si>
  <si>
    <t>https://drive.google.com/open?id=1jr9yvK8dS1wKIvjAEXba7Gy0iqfqAfxI</t>
  </si>
  <si>
    <t xml:space="preserve">No </t>
  </si>
  <si>
    <t>He will talk with menegar</t>
  </si>
  <si>
    <t>Roxy bar</t>
  </si>
  <si>
    <t>https://drive.google.com/open?id=1ID9F6qUktzE7tRyLPz2Yb_MWeUMgfHho</t>
  </si>
  <si>
    <t>Gloden mart</t>
  </si>
  <si>
    <t>Baba</t>
  </si>
  <si>
    <t>https://drive.google.com/open?id=1gJRWZkxJxmj8azIqa_G2hJM8e8rBcTJY</t>
  </si>
  <si>
    <t>O D C departmental store</t>
  </si>
  <si>
    <t>https://drive.google.com/open?id=1FBrTAb3pLhnShBVSBdIrSEfdcds_12hD</t>
  </si>
  <si>
    <t>Bhai bhai store</t>
  </si>
  <si>
    <t>https://drive.google.com/open?id=1-T_Pgsnjs9esRWx_grzhaHqhN17txcll</t>
  </si>
  <si>
    <t>Ordar on 16 January</t>
  </si>
  <si>
    <t>Kori's cafe and restro</t>
  </si>
  <si>
    <t>https://drive.google.com/open?id=1gYnY2isXPwzuL-DUTdxTfk9z7JXgTrri</t>
  </si>
  <si>
    <t>Alchemy grili and lounge</t>
  </si>
  <si>
    <t>https://drive.google.com/open?id=10LNu5o318d8GFOeHLMV5N6eoJkEq_-zb</t>
  </si>
  <si>
    <t>He will thisaid and talk to manegar</t>
  </si>
  <si>
    <t>Coffee to cocktails</t>
  </si>
  <si>
    <t>https://drive.google.com/open?id=1_RZNp5zkRsVula_RxDxMBP4-UdbQQeBa</t>
  </si>
  <si>
    <t>Bar is not open</t>
  </si>
  <si>
    <t>Bar cum lounge/ susantrabha</t>
  </si>
  <si>
    <t>https://drive.google.com/open?id=106MoCEn6o4Jq4Vtj8I1eUoSiWmMH0MRk</t>
  </si>
  <si>
    <t>No manegar</t>
  </si>
  <si>
    <t>The spice route</t>
  </si>
  <si>
    <t>https://drive.google.com/open?id=15kCU1JkdJsKaJFzPX65axPhxzoHYPhiT</t>
  </si>
  <si>
    <t>This bar is pamantly closed</t>
  </si>
  <si>
    <t>Cafe Bellevue</t>
  </si>
  <si>
    <t>https://drive.google.com/open?id=1STw5tvhUaIeKs2cMDsMiaRPbiqHVayJx</t>
  </si>
  <si>
    <t>He want the mrp of hooka flavor</t>
  </si>
  <si>
    <t>Cafe riverrun</t>
  </si>
  <si>
    <t>No number</t>
  </si>
  <si>
    <t>https://drive.google.com/open?id=1IUgsNMjEB5Pk2ZH840OMXXXDq5-dn2Za</t>
  </si>
  <si>
    <t>Heritage</t>
  </si>
  <si>
    <t>https://drive.google.com/open?id=1JGH3Kb5wjAkdnxY6Z8xOZwpHyQ8-gPah</t>
  </si>
  <si>
    <t xml:space="preserve">Cafe uzan </t>
  </si>
  <si>
    <t>https://drive.google.com/open?id=1JWs50stFmhtnDWm6OIjuKihzptlt__UV</t>
  </si>
  <si>
    <t>Flavors fantasy</t>
  </si>
  <si>
    <t>https://drive.google.com/open?id=18VpSlSxsIjFoe-5otM5fcS7G59jCUtzH</t>
  </si>
  <si>
    <t xml:space="preserve">Rolling bites </t>
  </si>
  <si>
    <t>https://drive.google.com/open?id=1dv1Eljkp5WmW_xn1doD8FzCEkLr0alWM</t>
  </si>
  <si>
    <t>Healthy bitez</t>
  </si>
  <si>
    <t>https://drive.google.com/open?id=1W5R_faOSeL1PTneelRgTQk-I-T0iR5Zn</t>
  </si>
  <si>
    <t>The October cafe</t>
  </si>
  <si>
    <t>https://drive.google.com/open?id=1mrVyogpPWabSoJFLuk0BYPPyHZEm4xmv</t>
  </si>
  <si>
    <t>Aira cafe</t>
  </si>
  <si>
    <t>https://drive.google.com/open?id=1_2krnFV0cSkpNXkpmEqWXjtPJpPPkyr_</t>
  </si>
  <si>
    <t xml:space="preserve">Ink hysteria </t>
  </si>
  <si>
    <t>76368 56093</t>
  </si>
  <si>
    <t>https://drive.google.com/open?id=1HHbTcVyn53m47M9TfvDYi6dm6ZE-k2kC</t>
  </si>
  <si>
    <t>Shivam store</t>
  </si>
  <si>
    <t>https://drive.google.com/open?id=16TludwE24Or73C9-km2zrrxtAd2TXEpS</t>
  </si>
  <si>
    <t>Beyond cafe</t>
  </si>
  <si>
    <t>https://drive.google.com/open?id=1c3wDGk8tLbQSNZh8hZNxNqkx794nDr0h</t>
  </si>
  <si>
    <t>New store</t>
  </si>
  <si>
    <t>https://drive.google.com/open?id=1x3omAwqJINKMLyZ0UXCAwyIIVXftqpoE</t>
  </si>
  <si>
    <t>Store Name</t>
  </si>
  <si>
    <t>Location</t>
  </si>
  <si>
    <t>Accuracy (m)</t>
  </si>
  <si>
    <t>ExtraInfo</t>
  </si>
  <si>
    <t>Family super market</t>
  </si>
  <si>
    <t>https://www.google.com/maps/search/?api=1&amp;query=26.143083%2C91.8122021</t>
  </si>
  <si>
    <t>Mozilla/5.0 (Linux; Android 10; K) AppleWebKit/537.36 (KHTML, like Gecko) Chrome/144.0.0.0 Mobile Safari/537.36</t>
  </si>
  <si>
    <t>Pull Mary mart</t>
  </si>
  <si>
    <t>https://www.google.com/maps/search/?api=1&amp;query=26.133466%2C91.8317512</t>
  </si>
  <si>
    <t>Kieko</t>
  </si>
  <si>
    <t>https://www.google.com/maps/search/?api=1&amp;query=26.156065%2C91.78065</t>
  </si>
  <si>
    <t>Mozilla/5.0 (Linux; Android 10; K) AppleWebKit/537.36 (KHTML, like Gecko) Chrome/131.0.0.0 Mobile Safari/537.36</t>
  </si>
  <si>
    <t>https://www.google.com/maps/search/?api=1&amp;query=26.1508814%2C91.7834907</t>
  </si>
  <si>
    <t>Quick shop</t>
  </si>
  <si>
    <t>https://www.google.com/maps/search/?api=1&amp;query=26.13301%2C91.8298416</t>
  </si>
  <si>
    <t>Ann negruli</t>
  </si>
  <si>
    <t>https://www.google.com/maps/search/?api=1&amp;query=26.1327564%2C91.8166271</t>
  </si>
  <si>
    <t>Olive Garden</t>
  </si>
  <si>
    <t>https://www.google.com/maps/search/?api=1&amp;query=26.1523644%2C91.7811835</t>
  </si>
  <si>
    <t>Assam quick shop</t>
  </si>
  <si>
    <t>https://www.google.com/maps/search/?api=1&amp;query=26.1056177%2C91.8545398</t>
  </si>
  <si>
    <t>Socialite</t>
  </si>
  <si>
    <t>https://www.google.com/maps/search/?api=1&amp;query=26.1535208%2C91.7803735</t>
  </si>
  <si>
    <t>Pragati Manor</t>
  </si>
  <si>
    <t>https://www.google.com/maps/search/?api=1&amp;query=26.1544501%2C91.7792302</t>
  </si>
  <si>
    <t>Kitchen and bar</t>
  </si>
  <si>
    <t>https://www.google.com/maps/search/?api=1&amp;query=26.1549427%2C91.7794864</t>
  </si>
  <si>
    <t>Smart pic</t>
  </si>
  <si>
    <t>https://www.google.com/maps/search/?api=1&amp;query=26.1261353%2C91.7974032</t>
  </si>
  <si>
    <t>Ascend</t>
  </si>
  <si>
    <t>https://www.google.com/maps/search/?api=1&amp;query=26.1551088%2C91.7791511</t>
  </si>
  <si>
    <t>Prince supar market</t>
  </si>
  <si>
    <t>https://www.google.com/maps/search/?api=1&amp;query=26.1319667%2C91.7938924</t>
  </si>
  <si>
    <t>Attic</t>
  </si>
  <si>
    <t>https://www.google.com/maps/search/?api=1&amp;query=26.1569721%2C91.7770388</t>
  </si>
  <si>
    <t>https://www.google.com/maps/search/?api=1&amp;query=26.1584035%2C91.7752677</t>
  </si>
  <si>
    <t>Arista</t>
  </si>
  <si>
    <t>https://www.google.com/maps/search/?api=1&amp;query=26.1594282%2C91.7742165</t>
  </si>
  <si>
    <t>Gharana enterpri</t>
  </si>
  <si>
    <t>https://www.google.com/maps/search/?api=1&amp;query=26.1734722%2C91.7315021</t>
  </si>
  <si>
    <t>Bhisnujyoti stor</t>
  </si>
  <si>
    <t>https://www.google.com/maps/search/?api=1&amp;query=26.1590165%2C91.6941079</t>
  </si>
  <si>
    <t>Maa kamakhya agency</t>
  </si>
  <si>
    <t>https://www.google.com/maps/search/?api=1&amp;query=26.1584949%2C91.6858021</t>
  </si>
  <si>
    <t>Quwality shoppe</t>
  </si>
  <si>
    <t>https://www.google.com/maps/search/?api=1&amp;query=26.1552462%2C91.6764789</t>
  </si>
  <si>
    <t>Fresh busket</t>
  </si>
  <si>
    <t>https://www.google.com/maps/search/?api=1&amp;query=26.1416286%2C91.6417724</t>
  </si>
  <si>
    <t>https://www.google.com/maps/search/?api=1&amp;query=26.1415927%2C91.6417741</t>
  </si>
  <si>
    <t>https://www.google.com/maps/search/?api=1&amp;query=26.1415592%2C91.6417357</t>
  </si>
  <si>
    <t>Pariwar supar market</t>
  </si>
  <si>
    <t>https://www.google.com/maps/search/?api=1&amp;query=26.1376343%2C91.6285173</t>
  </si>
  <si>
    <t>The grocer supar market</t>
  </si>
  <si>
    <t>https://www.google.com/maps/search/?api=1&amp;query=26.1368983%2C91.6290964</t>
  </si>
  <si>
    <t>Niharika enterpris</t>
  </si>
  <si>
    <t>https://www.google.com/maps/search/?api=1&amp;query=26.1454617%2C91.6449292</t>
  </si>
  <si>
    <t>S k stor</t>
  </si>
  <si>
    <t>https://www.google.com/maps/search/?api=1&amp;query=26.147229%2C91.6464309</t>
  </si>
  <si>
    <t>Suniya stor</t>
  </si>
  <si>
    <t>https://www.google.com/maps/search/?api=1&amp;query=26.1603976%2C91.666315</t>
  </si>
  <si>
    <t>Nayantara suparmarket</t>
  </si>
  <si>
    <t>https://www.google.com/maps/search/?api=1&amp;query=26.1326018%2C91.8070048</t>
  </si>
  <si>
    <t>Spicy cake and swees</t>
  </si>
  <si>
    <t>https://www.google.com/maps/search/?api=1&amp;query=26.1318581%2C91.807913</t>
  </si>
  <si>
    <t>Naima stor</t>
  </si>
  <si>
    <t>https://www.google.com/maps/search/?api=1&amp;query=26.140405%2C91.8152669</t>
  </si>
  <si>
    <t>Balaji bhandar</t>
  </si>
  <si>
    <t>https://www.google.com/maps/search/?api=1&amp;query=26.1373685%2C91.8153914</t>
  </si>
  <si>
    <t>Mollah stor</t>
  </si>
  <si>
    <t>https://www.google.com/maps/search/?api=1&amp;query=26.137204%2C91.8151736</t>
  </si>
  <si>
    <t>https://www.google.com/maps/search/?api=1&amp;query=26.1247206%2C91.805823</t>
  </si>
  <si>
    <t>Annapurna stor</t>
  </si>
  <si>
    <t>https://www.google.com/maps/search/?api=1&amp;query=26.121604%2C91.8058267</t>
  </si>
  <si>
    <t>Ganpati fresh dairy</t>
  </si>
  <si>
    <t>https://www.google.com/maps/search/?api=1&amp;query=26.1194968%2C91.8062219</t>
  </si>
  <si>
    <t>Babu bhandar</t>
  </si>
  <si>
    <t>https://www.google.com/maps/search/?api=1&amp;query=26.1102946%2C91.7502589</t>
  </si>
  <si>
    <t>Handique aritist hom</t>
  </si>
  <si>
    <t>https://www.google.com/maps/search/?api=1&amp;query=26.1042569%2C91.7074944</t>
  </si>
  <si>
    <t>Gupta stor</t>
  </si>
  <si>
    <t>https://www.google.com/maps/search/?api=1&amp;query=26.114321%2C91.7086986</t>
  </si>
  <si>
    <t>Shiri ram swees</t>
  </si>
  <si>
    <t>https://www.google.com/maps/search/?api=1&amp;query=26.1147258%2C91.7087387</t>
  </si>
  <si>
    <t>New singh stir</t>
  </si>
  <si>
    <t>https://www.google.com/maps/search/?api=1&amp;query=26.1230924%2C91.6855165</t>
  </si>
  <si>
    <t>Aensh enterprise</t>
  </si>
  <si>
    <t>https://www.google.com/maps/search/?api=1&amp;query=26.1233486%2C91.6858506</t>
  </si>
  <si>
    <t>Shing stor</t>
  </si>
  <si>
    <t>https://www.google.com/maps/search/?api=1&amp;query=26.1231499%2C91.6856619</t>
  </si>
  <si>
    <t>Minargo stor</t>
  </si>
  <si>
    <t>https://www.google.com/maps/search/?api=1&amp;query=26.1168925%2C91.7187974</t>
  </si>
  <si>
    <t>Raghuram stor</t>
  </si>
  <si>
    <t>https://www.google.com/maps/search/?api=1&amp;query=26.1374475%2C91.6326292</t>
  </si>
  <si>
    <t>Das stor</t>
  </si>
  <si>
    <t>https://www.google.com/maps/search/?api=1&amp;query=26.1419737%2C91.6587198</t>
  </si>
  <si>
    <t>H r veratis</t>
  </si>
  <si>
    <t>https://www.google.com/maps/search/?api=1&amp;query=26.1223225%2C91.8087446</t>
  </si>
  <si>
    <t>Pariwar suparmart</t>
  </si>
  <si>
    <t>https://www.google.com/maps/search/?api=1&amp;query=26.1271719%2C91.813211</t>
  </si>
  <si>
    <t>M. S. Gajanand agarwal</t>
  </si>
  <si>
    <t>https://www.google.com/maps/search/?api=1&amp;query=26.1273086%2C91.8130481</t>
  </si>
  <si>
    <t>Maruti bhandar</t>
  </si>
  <si>
    <t>https://www.google.com/maps/search/?api=1&amp;query=26.1287194%2C91.8113481</t>
  </si>
  <si>
    <t>Ezzy bazzar</t>
  </si>
  <si>
    <t>https://www.google.com/maps/search/?api=1&amp;query=26.1328454%2C91.8084186</t>
  </si>
  <si>
    <t>Aarohan</t>
  </si>
  <si>
    <t>https://www.google.com/maps/search/?api=1&amp;query=26.1375921%2C91.8110318</t>
  </si>
  <si>
    <t>Peopls mart</t>
  </si>
  <si>
    <t>https://www.google.com/maps/search/?api=1&amp;query=26.1412074%2C91.8114867</t>
  </si>
  <si>
    <t>Kibriya mart</t>
  </si>
  <si>
    <t>https://www.google.com/maps/search/?api=1&amp;query=26.1401414%2C91.7876469</t>
  </si>
  <si>
    <t>D fresh co family mart</t>
  </si>
  <si>
    <t>https://www.google.com/maps/search/?api=1&amp;query=26.1446114%2C91.7851826</t>
  </si>
  <si>
    <t>Fresh mart</t>
  </si>
  <si>
    <t>https://www.google.com/maps/search/?api=1&amp;query=26.1441035%2C91.782363</t>
  </si>
  <si>
    <t>The family shop</t>
  </si>
  <si>
    <t>https://www.google.com/maps/search/?api=1&amp;query=26.1444113%2C91.7840211</t>
  </si>
  <si>
    <t>Ma kamakhya retails</t>
  </si>
  <si>
    <t>https://www.google.com/maps/search/?api=1&amp;query=26.1911369%2C91.7557362</t>
  </si>
  <si>
    <t>Bhargob stor</t>
  </si>
  <si>
    <t>https://www.google.com/maps/search/?api=1&amp;query=26.1501826%2C91.6713809</t>
  </si>
  <si>
    <t>F d stor</t>
  </si>
  <si>
    <t>https://www.google.com/maps/search/?api=1&amp;query=26.1497712%2C91.6706637</t>
  </si>
  <si>
    <t>Morom a departmentl stor</t>
  </si>
  <si>
    <t>https://www.google.com/maps/search/?api=1&amp;query=26.1496669%2C91.6699622</t>
  </si>
  <si>
    <t>Omrawati stor</t>
  </si>
  <si>
    <t>https://www.google.com/maps/search/?api=1&amp;query=26.1228855%2C91.6171003</t>
  </si>
  <si>
    <t>Medhi stor</t>
  </si>
  <si>
    <t>https://www.google.com/maps/search/?api=1&amp;query=26.1212675%2C91.6160886</t>
  </si>
  <si>
    <t>M b stor</t>
  </si>
  <si>
    <t>https://www.google.com/maps/search/?api=1&amp;query=26.1189909%2C91.6146966</t>
  </si>
  <si>
    <t>Makon bhandar</t>
  </si>
  <si>
    <t>https://www.google.com/maps/search/?api=1&amp;query=26.1189531%2C91.6150266</t>
  </si>
  <si>
    <t>Jt departmentl stor</t>
  </si>
  <si>
    <t>https://www.google.com/maps/search/?api=1&amp;query=26.0903883%2C91.5359441</t>
  </si>
  <si>
    <t>Das enterprise</t>
  </si>
  <si>
    <t>https://www.google.com/maps/search/?api=1&amp;query=26.0909822%2C91.5360604</t>
  </si>
  <si>
    <t>R K bhandar</t>
  </si>
  <si>
    <t>https://www.google.com/maps/search/?api=1&amp;query=26.092794%2C91.5361209</t>
  </si>
  <si>
    <t>H2 happy supar market</t>
  </si>
  <si>
    <t>https://www.google.com/maps/search/?api=1&amp;query=26.0928316%2C91.5372771</t>
  </si>
  <si>
    <t>Archana mart</t>
  </si>
  <si>
    <t>https://www.google.com/maps/search/?api=1&amp;query=26.0928809%2C91.5397801</t>
  </si>
  <si>
    <t>Krishna enterpris</t>
  </si>
  <si>
    <t>https://www.google.com/maps/search/?api=1&amp;query=26.1006532%2C91.5988403</t>
  </si>
  <si>
    <t>RJ enterprise</t>
  </si>
  <si>
    <t>https://www.google.com/maps/search/?api=1&amp;query=26.0668545%2C91.5294082</t>
  </si>
  <si>
    <t>S K stor</t>
  </si>
  <si>
    <t>https://www.google.com/maps/search/?api=1&amp;query=26.0911159%2C91.5362626</t>
  </si>
  <si>
    <t>Duli</t>
  </si>
  <si>
    <t>https://www.google.com/maps/search/?api=1&amp;query=26.0936503%2C91.5367321</t>
  </si>
  <si>
    <t>Bhupali pan bhandar</t>
  </si>
  <si>
    <t>https://www.google.com/maps/search/?api=1&amp;query=26.0933345%2C91.5367203</t>
  </si>
  <si>
    <t>Choyonika suparmarket</t>
  </si>
  <si>
    <t>https://www.google.com/maps/search/?api=1&amp;query=26.0940945%2C91.536815</t>
  </si>
  <si>
    <t>https://www.google.com/maps/search/?api=1&amp;query=26.0940715%2C91.5368063</t>
  </si>
  <si>
    <t>Suranjana store</t>
  </si>
  <si>
    <t>https://www.google.com/maps/search/?api=1&amp;query=26.0927973%2C91.5434864</t>
  </si>
  <si>
    <t>Thakuriya store</t>
  </si>
  <si>
    <t>https://www.google.com/maps/search/?api=1&amp;query=26.0998323%2C91.5970292</t>
  </si>
  <si>
    <t>J C mart</t>
  </si>
  <si>
    <t>https://www.google.com/maps/search/?api=1&amp;query=26.1003124%2C91.599372</t>
  </si>
  <si>
    <t>Signature supar market</t>
  </si>
  <si>
    <t>https://www.google.com/maps/search/?api=1&amp;query=26.100049%2C91.61197</t>
  </si>
  <si>
    <t>https://www.google.com/maps/search/?api=1&amp;query=26.1428814%2C91.811969</t>
  </si>
  <si>
    <t>Bornali stor</t>
  </si>
  <si>
    <t>https://www.google.com/maps/search/?api=1&amp;query=26.1447389%2C91.8114919</t>
  </si>
  <si>
    <t>Harimaya store</t>
  </si>
  <si>
    <t>https://www.google.com/maps/search/?api=1&amp;query=26.1685905%2C91.8274937</t>
  </si>
  <si>
    <t>Banik store</t>
  </si>
  <si>
    <t>https://www.google.com/maps/search/?api=1&amp;query=26.1691924%2C91.827971</t>
  </si>
  <si>
    <t>https://www.google.com/maps/search/?api=1&amp;query=26.1783734%2C91.8297208</t>
  </si>
  <si>
    <t>Hari pan bhandar</t>
  </si>
  <si>
    <t>https://www.google.com/maps/search/?api=1&amp;query=26.1785304%2C91.8294651</t>
  </si>
  <si>
    <t>https://www.google.com/maps/search/?api=1&amp;query=26.1775338%2C91.8040292</t>
  </si>
  <si>
    <t>New L B stor</t>
  </si>
  <si>
    <t>https://www.google.com/maps/search/?api=1&amp;query=26.1764785%2C91.8033764</t>
  </si>
  <si>
    <t>Kalita stor</t>
  </si>
  <si>
    <t>https://www.google.com/maps/search/?api=1&amp;query=26.1687739%2C91.7799504</t>
  </si>
  <si>
    <t>fkvkflwffwr</t>
  </si>
  <si>
    <t>https://www.google.com/maps/search/?api=1&amp;query=26.159947906980292%2C91.77342801593977</t>
  </si>
  <si>
    <t>Mozilla/5.0 (Macintosh; Intel Mac OS X 10_15_7) AppleWebKit/537.36 (KHTML, like Gecko) Chrome/143.0.0.0 Safari/537.36</t>
  </si>
  <si>
    <t>kmakafad</t>
  </si>
  <si>
    <t>https://www.google.com/maps/search/?api=1&amp;query=26.15994570608215%2C91.77342455728025</t>
  </si>
  <si>
    <t>https://www.google.com/maps/search/?api=1&amp;query=26.1769797%2C91.8305447</t>
  </si>
  <si>
    <t>Purna nirman store</t>
  </si>
  <si>
    <t>https://www.google.com/maps/search/?api=1&amp;query=26.1770375%2C91.8306062</t>
  </si>
  <si>
    <t>Pushoa store</t>
  </si>
  <si>
    <t>https://www.google.com/maps/search/?api=1&amp;query=26.1765132%2C91.8307312</t>
  </si>
  <si>
    <t>https://www.google.com/maps/search/?api=1&amp;query=26.172029%2C91.8297248</t>
  </si>
  <si>
    <t>fllfksdf</t>
  </si>
  <si>
    <t>https://www.google.com/maps/search/?api=1&amp;query=26.16005296155247%2C91.77348179580834</t>
  </si>
  <si>
    <t>Grocery &amp; gnarl stor</t>
  </si>
  <si>
    <t>https://www.google.com/maps/search/?api=1&amp;query=26.1518013%2C91.870668</t>
  </si>
  <si>
    <t>The Malt Room</t>
  </si>
  <si>
    <t>https://www.google.com/maps/search/?api=1&amp;query=26.1194435%2C91.8260692</t>
  </si>
  <si>
    <t>Balaji mart</t>
  </si>
  <si>
    <t>https://www.google.com/maps/search/?api=1&amp;query=26.1593066%2C91.8376276</t>
  </si>
  <si>
    <t>Shree krishna store</t>
  </si>
  <si>
    <t>https://www.google.com/maps/search/?api=1&amp;query=26.1656377%2C91.8313502</t>
  </si>
  <si>
    <t>Dineway</t>
  </si>
  <si>
    <t>https://www.google.com/maps/search/?api=1&amp;query=26.1242639%2C91.8166491</t>
  </si>
  <si>
    <t>https://www.google.com/maps/search/?api=1&amp;query=26.1242208%2C91.8166882</t>
  </si>
  <si>
    <t>Bromon brothers</t>
  </si>
  <si>
    <t>https://www.google.com/maps/search/?api=1&amp;query=26.1683273%2C91.8297838</t>
  </si>
  <si>
    <t>https://www.google.com/maps/search/?api=1&amp;query=26.1815903%2C91.8029635</t>
  </si>
  <si>
    <t>https://www.google.com/maps/search/?api=1&amp;query=26.1249622%2C91.8160205</t>
  </si>
  <si>
    <t>Tiwaari store</t>
  </si>
  <si>
    <t>https://www.google.com/maps/search/?api=1&amp;query=26.1822893%2C91.8006371</t>
  </si>
  <si>
    <t>Bcom paanwala</t>
  </si>
  <si>
    <t>https://www.google.com/maps/search/?api=1&amp;query=26.1248431%2C91.8164863</t>
  </si>
  <si>
    <t>Vivanta</t>
  </si>
  <si>
    <t>https://www.google.com/maps/search/?api=1&amp;query=26.1252954%2C91.8173404</t>
  </si>
  <si>
    <t>Rintu store</t>
  </si>
  <si>
    <t>https://www.google.com/maps/search/?api=1&amp;query=26.1885529%2C91.7899111</t>
  </si>
  <si>
    <t>https://www.google.com/maps/search/?api=1&amp;query=26.1273899%2C91.8128035</t>
  </si>
  <si>
    <t>https://www.google.com/maps/search/?api=1&amp;query=26.1864637%2C91.7885891</t>
  </si>
  <si>
    <t>Kamdhenu enterprise</t>
  </si>
  <si>
    <t>https://www.google.com/maps/search/?api=1&amp;query=26.1834813%2C91.781615</t>
  </si>
  <si>
    <t>Novotel</t>
  </si>
  <si>
    <t>https://www.google.com/maps/search/?api=1&amp;query=26.1384311%2C91.7998708</t>
  </si>
  <si>
    <t>Shree annapurna bhandaar</t>
  </si>
  <si>
    <t>https://www.google.com/maps/search/?api=1&amp;query=26.1834718%2C91.7816197</t>
  </si>
  <si>
    <t>S R mini mart</t>
  </si>
  <si>
    <t>https://www.google.com/maps/search/?api=1&amp;query=26.1850311%2C91.7580076</t>
  </si>
  <si>
    <t>Rang de basanti</t>
  </si>
  <si>
    <t>https://www.google.com/maps/search/?api=1&amp;query=26.1552561%2C91.7789979</t>
  </si>
  <si>
    <t>https://www.google.com/maps/search/?api=1&amp;query=26.1674586%2C91.779143</t>
  </si>
  <si>
    <t>https://www.google.com/maps/search/?api=1&amp;query=26.1716081%2C91.777868</t>
  </si>
  <si>
    <t>https://www.google.com/maps/search/?api=1&amp;query=26.1740238%2C91.7770492</t>
  </si>
  <si>
    <t>https://www.google.com/maps/search/?api=1&amp;query=26.1679209%2C91.7791321</t>
  </si>
  <si>
    <t>https://www.google.com/maps/search/?api=1&amp;query=26.1804374%2C91.7752961</t>
  </si>
  <si>
    <t>B S pan shop</t>
  </si>
  <si>
    <t>https://www.google.com/maps/search/?api=1&amp;query=26.1847989%2C91.7747168</t>
  </si>
  <si>
    <t>Vinayak suparmarket</t>
  </si>
  <si>
    <t>https://www.google.com/maps/search/?api=1&amp;query=26.174859%2C91.772613</t>
  </si>
  <si>
    <t>M S biraja enterprise</t>
  </si>
  <si>
    <t>https://www.google.com/maps/search/?api=1&amp;query=26.1837941%2C91.7800973</t>
  </si>
  <si>
    <t>Bharati store</t>
  </si>
  <si>
    <t>https://www.google.com/maps/search/?api=1&amp;query=26.1833829%2C91.7823086</t>
  </si>
  <si>
    <t>https://www.google.com/maps/search/?api=1&amp;query=26.1858244%2C91.7754594</t>
  </si>
  <si>
    <t>https://www.google.com/maps/search/?api=1&amp;query=26.1859208%2C91.7756262</t>
  </si>
  <si>
    <t>Laxmi narayan store</t>
  </si>
  <si>
    <t>https://www.google.com/maps/search/?api=1&amp;query=26.1765894%2C91.7761696</t>
  </si>
  <si>
    <t>https://www.google.com/maps/search/?api=1&amp;query=26.1699016%2C91.7781599</t>
  </si>
  <si>
    <t>https://www.google.com/maps/search/?api=1&amp;query=26.1708036%2C91.7781096</t>
  </si>
  <si>
    <t>https://www.google.com/maps/search/?api=1&amp;query=26.1743739%2C91.7769738</t>
  </si>
  <si>
    <t>https://www.google.com/maps/search/?api=1&amp;query=26.1866388%2C91.7433694</t>
  </si>
  <si>
    <t>ODC departmentl stor</t>
  </si>
  <si>
    <t>https://www.google.com/maps/search/?api=1&amp;query=26.1922173%2C91.7523218</t>
  </si>
  <si>
    <t>https://www.google.com/maps/search/?api=1&amp;query=26.1922409%2C91.7521903</t>
  </si>
  <si>
    <t>https://www.google.com/maps/search/?api=1&amp;query=26.1604995%2C91.784379</t>
  </si>
  <si>
    <t>https://www.google.com/maps/search/?api=1&amp;query=26.1948331%2C91.7635868</t>
  </si>
  <si>
    <t>Sunrise store</t>
  </si>
  <si>
    <t>https://www.google.com/maps/search/?api=1&amp;query=26.1948303%2C91.7656971</t>
  </si>
  <si>
    <t>https://www.google.com/maps/search/?api=1&amp;query=26.1948594%2C91.7657936</t>
  </si>
  <si>
    <t>https://www.google.com/maps/search/?api=1&amp;query=26.1989984%2C91.7752615</t>
  </si>
  <si>
    <t>https://www.google.com/maps/search/?api=1&amp;query=26.1998262%2C91.779696</t>
  </si>
  <si>
    <t>https://www.google.com/maps/search/?api=1&amp;query=26.1909978%2C91.799384</t>
  </si>
  <si>
    <t>Pandey store</t>
  </si>
  <si>
    <t>https://www.google.com/maps/search/?api=1&amp;query=26.1909623%2C91.7993811</t>
  </si>
  <si>
    <t>https://www.google.com/maps/search/?api=1&amp;query=26.1909447%2C91.7995397</t>
  </si>
  <si>
    <t>https://www.google.com/maps/search/?api=1&amp;query=26.1779038%2C91.7757161</t>
  </si>
  <si>
    <t>D S bhandar</t>
  </si>
  <si>
    <t>https://www.google.com/maps/search/?api=1&amp;query=26.1744056%2C91.7769113</t>
  </si>
  <si>
    <t>https://www.google.com/maps/search/?api=1&amp;query=26.1709282%2C91.7554801</t>
  </si>
  <si>
    <t>https://www.google.com/maps/search/?api=1&amp;query=26.1709844%2C91.7555171</t>
  </si>
  <si>
    <t>Dayamoyee store</t>
  </si>
  <si>
    <t>https://www.google.com/maps/search/?api=1&amp;query=26.1693782%2C91.7546054</t>
  </si>
  <si>
    <t>https://www.google.com/maps/search/?api=1&amp;query=26.1680488%2C91.7464672</t>
  </si>
  <si>
    <t>Prashant pan bhandar</t>
  </si>
  <si>
    <t>https://www.google.com/maps/search/?api=1&amp;query=26.1681013%2C91.746434</t>
  </si>
  <si>
    <t>Biswajit bhandar</t>
  </si>
  <si>
    <t>https://www.google.com/maps/search/?api=1&amp;query=26.1584712%2C91.7346103</t>
  </si>
  <si>
    <t>https://www.google.com/maps/search/?api=1&amp;query=26.1576587%2C91.732802</t>
  </si>
  <si>
    <t>https://www.google.com/maps/search/?api=1&amp;query=26.1567253%2C91.7322437</t>
  </si>
  <si>
    <t>https://www.google.com/maps/search/?api=1&amp;query=26.1558207%2C91.731309</t>
  </si>
  <si>
    <t>https://www.google.com/maps/search/?api=1&amp;query=26.1485778%2C91.7286477</t>
  </si>
  <si>
    <t>Barmon store</t>
  </si>
  <si>
    <t>https://www.google.com/maps/search/?api=1&amp;query=26.1413952%2C91.725983</t>
  </si>
  <si>
    <t>Vishal ayush bhandar</t>
  </si>
  <si>
    <t>https://www.google.com/maps/search/?api=1&amp;query=26.1392437%2C91.725228</t>
  </si>
  <si>
    <t>https://www.google.com/maps/search/?api=1&amp;query=26.1336647%2C91.722918</t>
  </si>
  <si>
    <t>New moni store</t>
  </si>
  <si>
    <t>https://www.google.com/maps/search/?api=1&amp;query=26.1273854%2C91.7199414</t>
  </si>
  <si>
    <t>https://www.google.com/maps/search/?api=1&amp;query=26.1273699%2C91.7199332</t>
  </si>
  <si>
    <t>Ms K R enterprise</t>
  </si>
  <si>
    <t>https://www.google.com/maps/search/?api=1&amp;query=26.1237486%2C91.7193451</t>
  </si>
  <si>
    <t>https://www.google.com/maps/search/?api=1&amp;query=26.1204108%2C91.7177378</t>
  </si>
  <si>
    <t>https://www.google.com/maps/search/?api=1&amp;query=26.1181811%2C91.7087833</t>
  </si>
  <si>
    <t>https://www.google.com/maps/search/?api=1&amp;query=26.1238498%2C91.7193519</t>
  </si>
  <si>
    <t>https://www.google.com/maps/search/?api=1&amp;query=26.1608865%2C91.7341239</t>
  </si>
  <si>
    <t>https://www.google.com/maps/search/?api=1&amp;query=26.1608535%2C91.734101</t>
  </si>
  <si>
    <t>A One departmental store</t>
  </si>
  <si>
    <t>https://www.google.com/maps/search/?api=1&amp;query=26.1743512%2C91.7574969</t>
  </si>
  <si>
    <t>https://www.google.com/maps/search/?api=1&amp;query=26.1735338%2C91.7571748</t>
  </si>
  <si>
    <t>Rishab store</t>
  </si>
  <si>
    <t>https://www.google.com/maps/search/?api=1&amp;query=26.1734825%2C91.7567889</t>
  </si>
  <si>
    <t>https://www.google.com/maps/search/?api=1&amp;query=26.1735119%2C91.7572652</t>
  </si>
  <si>
    <t>B  K pan shop</t>
  </si>
  <si>
    <t>https://www.google.com/maps/search/?api=1&amp;query=26.1688353%2C91.7470121</t>
  </si>
  <si>
    <t>https://www.google.com/maps/search/?api=1&amp;query=26.1631472%2C91.7457563</t>
  </si>
  <si>
    <t>https://www.google.com/maps/search/?api=1&amp;query=26.16216216216216%2C91.74125786226118</t>
  </si>
  <si>
    <t>https://www.google.com/maps/search/?api=1&amp;query=26.1583544%2C91.7354675</t>
  </si>
  <si>
    <t>https://www.google.com/maps/search/?api=1&amp;query=26.1556729%2C91.7313725</t>
  </si>
  <si>
    <t>Ganapati agency house</t>
  </si>
  <si>
    <t>https://www.google.com/maps/search/?api=1&amp;query=26.1530226%2C91.7306068</t>
  </si>
  <si>
    <t>https://www.google.com/maps/search/?api=1&amp;query=26.1274046%2C91.7200048</t>
  </si>
  <si>
    <t>https://www.google.com/maps/search/?api=1&amp;query=26.1243573%2C91.7196016</t>
  </si>
  <si>
    <t>https://www.google.com/maps/search/?api=1&amp;query=26.1243718%2C91.7195385</t>
  </si>
  <si>
    <t>https://www.google.com/maps/search/?api=1&amp;query=26.1144917%2C91.748544</t>
  </si>
  <si>
    <t>https://www.google.com/maps/search/?api=1&amp;query=26.1164045%2C91.7484909</t>
  </si>
  <si>
    <t>https://www.google.com/maps/search/?api=1&amp;query=26.116476%2C91.7489517</t>
  </si>
  <si>
    <t>https://www.google.com/maps/search/?api=1&amp;query=26.1358955%2C91.7620132</t>
  </si>
  <si>
    <t>Balaji store</t>
  </si>
  <si>
    <t>https://www.google.com/maps/search/?api=1&amp;query=26.1360745%2C91.7619628</t>
  </si>
  <si>
    <t>https://www.google.com/maps/search/?api=1&amp;query=26.1347951%2C91.7925199</t>
  </si>
  <si>
    <t>Gaori store</t>
  </si>
  <si>
    <t>https://www.google.com/maps/search/?api=1&amp;query=26.1293346%2C91.7955102</t>
  </si>
  <si>
    <t>https://www.google.com/maps/search/?api=1&amp;query=26.1287721%2C91.7956</t>
  </si>
  <si>
    <t>https://www.google.com/maps/search/?api=1&amp;query=26.1228871%2C91.8052793</t>
  </si>
  <si>
    <t>https://www.google.com/maps/search/?api=1&amp;query=26.1245104%2C91.8058502</t>
  </si>
  <si>
    <t>https://www.google.com/maps/search/?api=1&amp;query=26.1255812%2C91.805959</t>
  </si>
  <si>
    <t>https://www.google.com/maps/search/?api=1&amp;query=26.1294476%2C91.8064167</t>
  </si>
  <si>
    <t>https://www.google.com/maps/search/?api=1&amp;query=26.1337842%2C91.8244713</t>
  </si>
  <si>
    <t>https://www.google.com/maps/search/?api=1&amp;query=26.1341045%2C91.8249016</t>
  </si>
  <si>
    <t>Hotspot</t>
  </si>
  <si>
    <t>https://www.google.com/maps/search/?api=1&amp;query=26.1348342%2C91.8252753</t>
  </si>
  <si>
    <t>https://www.google.com/maps/search/?api=1&amp;query=26.1350292%2C91.8253496</t>
  </si>
  <si>
    <t>https://www.google.com/maps/search/?api=1&amp;query=26.1206029%2C91.7975939</t>
  </si>
  <si>
    <t>https://www.google.com/maps/search/?api=1&amp;query=26.1246628%2C91.8057514</t>
  </si>
  <si>
    <t>https://www.google.com/maps/search/?api=1&amp;query=26.136546%2C91.8108761</t>
  </si>
  <si>
    <t>https://www.google.com/maps/search/?api=1&amp;query=26.1415259%2C91.8115209</t>
  </si>
  <si>
    <t>kllk</t>
  </si>
  <si>
    <t>https://www.google.com/maps/search/?api=1&amp;query=26.159997186465553%2C91.77347718560083</t>
  </si>
  <si>
    <t>https://www.google.com/maps/search/?api=1&amp;query=26.1663578%2C91.7681544</t>
  </si>
  <si>
    <t>Elevate bar</t>
  </si>
  <si>
    <t>https://www.google.com/maps/search/?api=1&amp;query=26.16216216216216%2C91.76133253575402</t>
  </si>
  <si>
    <t>https://www.google.com/maps/search/?api=1&amp;query=26.1581039%2C91.7785435</t>
  </si>
  <si>
    <t>Bombay brasserie</t>
  </si>
  <si>
    <t>https://www.google.com/maps/search/?api=1&amp;query=26.1581685%2C91.7785256</t>
  </si>
  <si>
    <t>House of madira bar</t>
  </si>
  <si>
    <t>https://www.google.com/maps/search/?api=1&amp;query=26.1582204%2C91.7784664</t>
  </si>
  <si>
    <t>https://www.google.com/maps/search/?api=1&amp;query=26.154735%2C91.7817436</t>
  </si>
  <si>
    <t>Freemaaon's bar</t>
  </si>
  <si>
    <t>https://www.google.com/maps/search/?api=1&amp;query=26.1547592%2C91.7814944</t>
  </si>
  <si>
    <t>https://www.google.com/maps/search/?api=1&amp;query=26.1546983%2C91.7815357</t>
  </si>
  <si>
    <t>https://www.google.com/maps/search/?api=1&amp;query=26.1519561%2C91.7849914</t>
  </si>
  <si>
    <t>https://www.google.com/maps/search/?api=1&amp;query=26.1520986%2C91.7848891</t>
  </si>
  <si>
    <t>https://www.google.com/maps/search/?api=1&amp;query=26.1496415%2C91.7861329</t>
  </si>
  <si>
    <t>Maa kamakhya retails</t>
  </si>
  <si>
    <t>https://www.google.com/maps/search/?api=1&amp;query=26.1910978%2C91.7557828</t>
  </si>
  <si>
    <t>O D C departmentl store</t>
  </si>
  <si>
    <t>https://www.google.com/maps/search/?api=1&amp;query=26.1922103%2C91.7523936</t>
  </si>
  <si>
    <t>https://www.google.com/maps/search/?api=1&amp;query=26.1728649%2C91.7606098</t>
  </si>
  <si>
    <t>https://www.google.com/maps/search/?api=1&amp;query=26.1719506%2C91.7615638</t>
  </si>
  <si>
    <t>https://www.google.com/maps/search/?api=1&amp;query=26.1683108%2C91.7650948</t>
  </si>
  <si>
    <t>https://www.google.com/maps/search/?api=1&amp;query=26.1775034%2C91.8039445</t>
  </si>
  <si>
    <t>https://www.google.com/maps/search/?api=1&amp;query=26.1729609%2C91.786348</t>
  </si>
  <si>
    <t>https://www.google.com/maps/search/?api=1&amp;query=26.1729988%2C91.7865732</t>
  </si>
  <si>
    <t>Kori's cafe and testro</t>
  </si>
  <si>
    <t>https://www.google.com/maps/search/?api=1&amp;query=26.167136%2C91.7792045</t>
  </si>
  <si>
    <t>https://www.google.com/maps/search/?api=1&amp;query=26.1670259%2C91.7790536</t>
  </si>
  <si>
    <t>https://www.google.com/maps/search/?api=1&amp;query=26.1565738%2C91.7828297</t>
  </si>
  <si>
    <t>Bar cum lounge</t>
  </si>
  <si>
    <t>https://www.google.com/maps/search/?api=1&amp;query=26.1475524%2C91.7888759</t>
  </si>
  <si>
    <t>https://www.google.com/maps/search/?api=1&amp;query=26.1424144%2C91.7949627</t>
  </si>
  <si>
    <t>https://www.google.com/maps/search/?api=1&amp;query=26.1939007%2C91.7537025</t>
  </si>
  <si>
    <t>https://www.google.com/maps/search/?api=1&amp;query=26.19384%2C91.7536778</t>
  </si>
  <si>
    <t>Heritage cafe</t>
  </si>
  <si>
    <t>https://www.google.com/maps/search/?api=1&amp;query=26.1939051%2C91.7539467</t>
  </si>
  <si>
    <t>Cafe uzan</t>
  </si>
  <si>
    <t>https://www.google.com/maps/search/?api=1&amp;query=26.1940272%2C91.7540518</t>
  </si>
  <si>
    <t>https://www.google.com/maps/search/?api=1&amp;query=26.1942088%2C91.7542757</t>
  </si>
  <si>
    <t>Rolling bites</t>
  </si>
  <si>
    <t>https://www.google.com/maps/search/?api=1&amp;query=26.1942614%2C91.7544336</t>
  </si>
  <si>
    <t>https://www.google.com/maps/search/?api=1&amp;query=26.1942521%2C91.7544454</t>
  </si>
  <si>
    <t>https://www.google.com/maps/search/?api=1&amp;query=26.1944066%2C91.7545064</t>
  </si>
  <si>
    <t>https://www.google.com/maps/search/?api=1&amp;query=26.1944846%2C91.7546639</t>
  </si>
  <si>
    <t>Ink hysteria</t>
  </si>
  <si>
    <t>https://www.google.com/maps/search/?api=1&amp;query=26.1289636%2C91.8059348</t>
  </si>
  <si>
    <t>https://www.google.com/maps/search/?api=1&amp;query=26.1261985%2C91.8059019</t>
  </si>
  <si>
    <t>https://www.google.com/maps/search/?api=1&amp;query=26.1917426%2C91.7541338</t>
  </si>
  <si>
    <t>https://www.google.com/maps/search/?api=1&amp;query=26.1498545%2C91.7715468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</si>
</sst>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9" xfId="0" applyAlignment="1" applyBorder="1" applyFont="1" applyNumberFormat="1">
      <alignment readingOrder="0" shrinkToFit="0" vertical="center" wrapText="0"/>
    </xf>
    <xf borderId="1" fillId="0" fontId="1" numFmtId="0" xfId="0" applyBorder="1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244" displayName="Form_Responses" name="Form_Responses" id="1">
  <autoFilter ref="$A$1:$R$244">
    <filterColumn colId="8">
      <filters>
        <filter val="HoReca"/>
        <filter val="MT"/>
      </filters>
    </filterColumn>
    <filterColumn colId="9">
      <filters>
        <filter val="RAJU DAS"/>
      </filters>
    </filterColumn>
  </autoFilter>
  <tableColumns count="18">
    <tableColumn name="Timestamp" id="1"/>
    <tableColumn name="STORE NAME AND CONTACT PERSON" id="2"/>
    <tableColumn name="PHONE NUMBER" id="3"/>
    <tableColumn name="TIME" id="4"/>
    <tableColumn name="PHOTOGRAPH" id="5"/>
    <tableColumn name="TOBACCO PRODUCTS INTERESTED IN/THEY DEAL IN" id="6"/>
    <tableColumn name="ORDER DETAILS IF CONVERTED" id="7"/>
    <tableColumn name="CLICK THE LINK TO RECORD LOCATION. DID YOU RECORD THE LOCATION?" id="8"/>
    <tableColumn name="STORE CATEGORY" id="9"/>
    <tableColumn name="SR NAME" id="10"/>
    <tableColumn name="REMARKS" id="11"/>
    <tableColumn name="LEAD TYPE" id="12"/>
    <tableColumn name="FOLLOW UP DATE" id="13"/>
    <tableColumn name="STORE VISIT TYPE" id="14"/>
    <tableColumn name="DATE" id="15"/>
    <tableColumn name="ADMIN REMARKS" id="16"/>
    <tableColumn name="LATITUDE" id="17"/>
    <tableColumn name="LONGITUDE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h2QhARU1Z1eqlUMEwt2GmF1B94PCOHyy" TargetMode="External"/><Relationship Id="rId190" Type="http://schemas.openxmlformats.org/officeDocument/2006/relationships/hyperlink" Target="https://drive.google.com/open?id=1Z4uOiC1TXofXmKyX7wTzuU0Nvapc-Jux" TargetMode="External"/><Relationship Id="rId42" Type="http://schemas.openxmlformats.org/officeDocument/2006/relationships/hyperlink" Target="https://drive.google.com/open?id=1dVU0vARm0UYtN_3jv7DK5CwrZ4FUAQDn" TargetMode="External"/><Relationship Id="rId41" Type="http://schemas.openxmlformats.org/officeDocument/2006/relationships/hyperlink" Target="https://drive.google.com/open?id=1Wz22NL4h-eePpnAtosVIvDDzDMkBfy2z" TargetMode="External"/><Relationship Id="rId44" Type="http://schemas.openxmlformats.org/officeDocument/2006/relationships/hyperlink" Target="https://drive.google.com/open?id=1tmqaOxx0_ruUlMleOBQRsf5TT7cKet8P" TargetMode="External"/><Relationship Id="rId194" Type="http://schemas.openxmlformats.org/officeDocument/2006/relationships/hyperlink" Target="https://drive.google.com/open?id=1uRYedap33ab7axWaqFEx36Z3qXUgZyX-" TargetMode="External"/><Relationship Id="rId43" Type="http://schemas.openxmlformats.org/officeDocument/2006/relationships/hyperlink" Target="https://drive.google.com/open?id=1oPcxsJC8WEKJPc2WtrcqSc8VkXUNoHTc" TargetMode="External"/><Relationship Id="rId193" Type="http://schemas.openxmlformats.org/officeDocument/2006/relationships/hyperlink" Target="https://drive.google.com/open?id=1S6ZlICdwc4d_F008CG_L0291eYXOqT0E" TargetMode="External"/><Relationship Id="rId46" Type="http://schemas.openxmlformats.org/officeDocument/2006/relationships/hyperlink" Target="https://drive.google.com/open?id=1VMovG1HNnHWXjCp5Hcw6eJkeSJQX0Lhk" TargetMode="External"/><Relationship Id="rId192" Type="http://schemas.openxmlformats.org/officeDocument/2006/relationships/hyperlink" Target="https://drive.google.com/open?id=1QKzdv1yTkKR0Glps82ab3T1yYnYlDUSz" TargetMode="External"/><Relationship Id="rId45" Type="http://schemas.openxmlformats.org/officeDocument/2006/relationships/hyperlink" Target="https://drive.google.com/open?id=1Tnf-v-DYhpobf43_SNVnvtJLJna9kWag" TargetMode="External"/><Relationship Id="rId191" Type="http://schemas.openxmlformats.org/officeDocument/2006/relationships/hyperlink" Target="https://drive.google.com/open?id=1HqWF5uPJ1Vly0JUDgPDBCeDYdgv5pgB6" TargetMode="External"/><Relationship Id="rId48" Type="http://schemas.openxmlformats.org/officeDocument/2006/relationships/hyperlink" Target="https://drive.google.com/open?id=1uP9-FGCFGruZyJxOxPCsflBZXBIzdTkk" TargetMode="External"/><Relationship Id="rId187" Type="http://schemas.openxmlformats.org/officeDocument/2006/relationships/hyperlink" Target="https://drive.google.com/open?id=1eMmCHmTv2mBLIug4UlrwAffMeMmRd6by" TargetMode="External"/><Relationship Id="rId47" Type="http://schemas.openxmlformats.org/officeDocument/2006/relationships/hyperlink" Target="https://drive.google.com/open?id=1B7UmnGJ6LIIJE9KEXoNc3K_-iqgpUVtG" TargetMode="External"/><Relationship Id="rId186" Type="http://schemas.openxmlformats.org/officeDocument/2006/relationships/hyperlink" Target="https://drive.google.com/open?id=1pWP0tzhYxMRJNuEP-TCQMMvG4v3VDCVB" TargetMode="External"/><Relationship Id="rId185" Type="http://schemas.openxmlformats.org/officeDocument/2006/relationships/hyperlink" Target="https://drive.google.com/open?id=1X0MqI4BSVr6agnDVncwf7JKW5Bs6LFeT" TargetMode="External"/><Relationship Id="rId49" Type="http://schemas.openxmlformats.org/officeDocument/2006/relationships/hyperlink" Target="https://drive.google.com/open?id=1myJXsw5Qdny7yC8WybQzHZJmAozElcMg" TargetMode="External"/><Relationship Id="rId184" Type="http://schemas.openxmlformats.org/officeDocument/2006/relationships/hyperlink" Target="https://drive.google.com/open?id=1ThgLXSv8g-abtG5cWWH-0j2oetC1slWD" TargetMode="External"/><Relationship Id="rId189" Type="http://schemas.openxmlformats.org/officeDocument/2006/relationships/hyperlink" Target="https://drive.google.com/open?id=1jGXKRm9KelD-Zb-feJpuE0w-Cv4-jpaE" TargetMode="External"/><Relationship Id="rId188" Type="http://schemas.openxmlformats.org/officeDocument/2006/relationships/hyperlink" Target="https://drive.google.com/open?id=1a5BIn2OkkCV4T5znQ9kpih6MD9kdIzYY" TargetMode="External"/><Relationship Id="rId31" Type="http://schemas.openxmlformats.org/officeDocument/2006/relationships/hyperlink" Target="https://drive.google.com/open?id=1RV842zYL2juigfj4TUge2RnAj5e1q8Lo" TargetMode="External"/><Relationship Id="rId30" Type="http://schemas.openxmlformats.org/officeDocument/2006/relationships/hyperlink" Target="https://drive.google.com/open?id=1JP3rpUAIGZgOl5U_Tcil4GUymNxcaDud" TargetMode="External"/><Relationship Id="rId33" Type="http://schemas.openxmlformats.org/officeDocument/2006/relationships/hyperlink" Target="https://drive.google.com/open?id=1Yy2SFGeGehB_nnctUo5L_HJQe6JZ5dTj" TargetMode="External"/><Relationship Id="rId183" Type="http://schemas.openxmlformats.org/officeDocument/2006/relationships/hyperlink" Target="https://drive.google.com/open?id=1KBYLb3tkhHYFdYiAlStXCXdKY0SmQZ6C" TargetMode="External"/><Relationship Id="rId32" Type="http://schemas.openxmlformats.org/officeDocument/2006/relationships/hyperlink" Target="https://drive.google.com/open?id=1J3MGKB1wp-UFzA4lYempcNMKPVtGDAiP" TargetMode="External"/><Relationship Id="rId182" Type="http://schemas.openxmlformats.org/officeDocument/2006/relationships/hyperlink" Target="https://drive.google.com/open?id=1J5bPDhYW2zB0I7pZgMCHZA2aTvm7fpU1" TargetMode="External"/><Relationship Id="rId35" Type="http://schemas.openxmlformats.org/officeDocument/2006/relationships/hyperlink" Target="https://drive.google.com/open?id=18SqwwJnXrad-hGixwszvuoLGGHyI2e_c" TargetMode="External"/><Relationship Id="rId181" Type="http://schemas.openxmlformats.org/officeDocument/2006/relationships/hyperlink" Target="https://drive.google.com/open?id=17tbvwTAFw2cUxx2tBHp4br9V6J4lwkkk" TargetMode="External"/><Relationship Id="rId34" Type="http://schemas.openxmlformats.org/officeDocument/2006/relationships/hyperlink" Target="https://drive.google.com/open?id=1aefrZoHf3QmojbV8sQ6D2fOqg_b3CjTt" TargetMode="External"/><Relationship Id="rId180" Type="http://schemas.openxmlformats.org/officeDocument/2006/relationships/hyperlink" Target="https://drive.google.com/open?id=1hemEPbEyiS3WdZa-5Ha_K0haQR8g6LpC" TargetMode="External"/><Relationship Id="rId37" Type="http://schemas.openxmlformats.org/officeDocument/2006/relationships/hyperlink" Target="https://drive.google.com/open?id=1XYVjMXRG9yv6b5tfCAoVblWTiV_pCPON" TargetMode="External"/><Relationship Id="rId176" Type="http://schemas.openxmlformats.org/officeDocument/2006/relationships/hyperlink" Target="https://drive.google.com/open?id=1GLu__77IW-H11YNZOaStunr_CSNae8c5" TargetMode="External"/><Relationship Id="rId36" Type="http://schemas.openxmlformats.org/officeDocument/2006/relationships/hyperlink" Target="https://drive.google.com/open?id=1P4sE7Lw225eIvaYBsVcCTdyArfkUO3xz" TargetMode="External"/><Relationship Id="rId175" Type="http://schemas.openxmlformats.org/officeDocument/2006/relationships/hyperlink" Target="https://drive.google.com/open?id=1-Uji_iVsjJLp0XdyhR7AF_Szfi3nDLJs" TargetMode="External"/><Relationship Id="rId39" Type="http://schemas.openxmlformats.org/officeDocument/2006/relationships/hyperlink" Target="https://drive.google.com/open?id=1BYAaJP8vE4Ddh-QFl8XMDJABAPdw-j6e" TargetMode="External"/><Relationship Id="rId174" Type="http://schemas.openxmlformats.org/officeDocument/2006/relationships/hyperlink" Target="https://drive.google.com/open?id=1-4Yv1ff5V9ymXOz9Gy-M7meR9M5ovwco" TargetMode="External"/><Relationship Id="rId38" Type="http://schemas.openxmlformats.org/officeDocument/2006/relationships/hyperlink" Target="https://drive.google.com/open?id=1mKbjGtXFYYxBzdwnHXUUqoVZp0Rmdh2g" TargetMode="External"/><Relationship Id="rId173" Type="http://schemas.openxmlformats.org/officeDocument/2006/relationships/hyperlink" Target="https://drive.google.com/open?id=13wPwNu8Frb91s_AZqkjzDuhlsor92Nrf" TargetMode="External"/><Relationship Id="rId179" Type="http://schemas.openxmlformats.org/officeDocument/2006/relationships/hyperlink" Target="https://drive.google.com/open?id=173bDBEd0uGhuGU8aHPQvCROV92Iiqk7O" TargetMode="External"/><Relationship Id="rId178" Type="http://schemas.openxmlformats.org/officeDocument/2006/relationships/hyperlink" Target="https://drive.google.com/open?id=17pwEnAWlxFeWAO0zNqUuiL2KIp1ncMrk" TargetMode="External"/><Relationship Id="rId177" Type="http://schemas.openxmlformats.org/officeDocument/2006/relationships/hyperlink" Target="https://drive.google.com/open?id=129MTCnFi-Q02oWH_ZRlxEKz4P4t7OtmE" TargetMode="External"/><Relationship Id="rId20" Type="http://schemas.openxmlformats.org/officeDocument/2006/relationships/hyperlink" Target="https://drive.google.com/open?id=1F5HixGtaFKm_ADIujFIQ16Eh0hE8FRfX" TargetMode="External"/><Relationship Id="rId22" Type="http://schemas.openxmlformats.org/officeDocument/2006/relationships/hyperlink" Target="https://drive.google.com/open?id=1RUyk28ONy7EvArvjWB3UQbH_A05e4HOY" TargetMode="External"/><Relationship Id="rId21" Type="http://schemas.openxmlformats.org/officeDocument/2006/relationships/hyperlink" Target="https://drive.google.com/open?id=1YGm5DSmNj9WAvo5lXrxoWsHdy30VGlaM" TargetMode="External"/><Relationship Id="rId24" Type="http://schemas.openxmlformats.org/officeDocument/2006/relationships/hyperlink" Target="https://drive.google.com/open?id=1qlg6Dc_oOiI16_0vWyjKC7vVXX__7jAH" TargetMode="External"/><Relationship Id="rId23" Type="http://schemas.openxmlformats.org/officeDocument/2006/relationships/hyperlink" Target="https://drive.google.com/open?id=1UA8IlWLa5iz0Jzmw9hMUMGbenr_hJ2yW" TargetMode="External"/><Relationship Id="rId26" Type="http://schemas.openxmlformats.org/officeDocument/2006/relationships/hyperlink" Target="https://drive.google.com/open?id=1eEjwbMn7kTLxzPMsqDOgYREfXoICASgF" TargetMode="External"/><Relationship Id="rId25" Type="http://schemas.openxmlformats.org/officeDocument/2006/relationships/hyperlink" Target="https://drive.google.com/open?id=1Fy9KqsNY1x1lyyRzI-kdSWrsd6-5_90H" TargetMode="External"/><Relationship Id="rId28" Type="http://schemas.openxmlformats.org/officeDocument/2006/relationships/hyperlink" Target="https://drive.google.com/open?id=1ckLnj7jhUKxCKhOm5gEvKrETFsIRaauQ" TargetMode="External"/><Relationship Id="rId27" Type="http://schemas.openxmlformats.org/officeDocument/2006/relationships/hyperlink" Target="https://drive.google.com/open?id=1HW9QE-xNLvUu-6g9cViqtcbx-qkMVQrz" TargetMode="External"/><Relationship Id="rId29" Type="http://schemas.openxmlformats.org/officeDocument/2006/relationships/hyperlink" Target="https://drive.google.com/open?id=1sorDQ2m7Mhz9SuKPgg0EhhPLpPu4jfFH" TargetMode="External"/><Relationship Id="rId11" Type="http://schemas.openxmlformats.org/officeDocument/2006/relationships/hyperlink" Target="https://drive.google.com/open?id=1oXC-4xKmzVSR6iZy1Gz55hbq9A_neuDW" TargetMode="External"/><Relationship Id="rId10" Type="http://schemas.openxmlformats.org/officeDocument/2006/relationships/hyperlink" Target="https://drive.google.com/open?id=10XfVTRORZw61BCgQb8mR7czbgSuTvY9Q" TargetMode="External"/><Relationship Id="rId13" Type="http://schemas.openxmlformats.org/officeDocument/2006/relationships/hyperlink" Target="https://drive.google.com/open?id=1-6TUbVYhlowiGEiteCwuaIooBsIilLWm" TargetMode="External"/><Relationship Id="rId12" Type="http://schemas.openxmlformats.org/officeDocument/2006/relationships/hyperlink" Target="https://drive.google.com/open?id=1-ZWZIzDWPkxbSnZrBHX_1W5iI1CRM6bj" TargetMode="External"/><Relationship Id="rId15" Type="http://schemas.openxmlformats.org/officeDocument/2006/relationships/hyperlink" Target="https://drive.google.com/open?id=13Af-bcQSIXCme07ywunPWbMdyqCsJRZV" TargetMode="External"/><Relationship Id="rId198" Type="http://schemas.openxmlformats.org/officeDocument/2006/relationships/hyperlink" Target="https://drive.google.com/open?id=1wfOBcHtL33UTC1vi22weZI0Bcu1Fzh_R" TargetMode="External"/><Relationship Id="rId14" Type="http://schemas.openxmlformats.org/officeDocument/2006/relationships/hyperlink" Target="https://drive.google.com/open?id=1ZYjf2n4Kn9kREPlbMAtIGcBZWjJsasDQ" TargetMode="External"/><Relationship Id="rId197" Type="http://schemas.openxmlformats.org/officeDocument/2006/relationships/hyperlink" Target="https://drive.google.com/open?id=1doaxUGqTwC4k9tM3lYkc3EfS1vOB5AMY" TargetMode="External"/><Relationship Id="rId17" Type="http://schemas.openxmlformats.org/officeDocument/2006/relationships/hyperlink" Target="https://drive.google.com/open?id=1WLzjPxK7KhuMtAO0UJc94Q3WQGEIXnSI" TargetMode="External"/><Relationship Id="rId196" Type="http://schemas.openxmlformats.org/officeDocument/2006/relationships/hyperlink" Target="https://drive.google.com/open?id=1r8uJn6eOVbKa_URkYEzDzgQcwaWK8zY9" TargetMode="External"/><Relationship Id="rId16" Type="http://schemas.openxmlformats.org/officeDocument/2006/relationships/hyperlink" Target="https://drive.google.com/open?id=1_0KTZeommgOKVm8pNxYP-0KOHsxpFeah" TargetMode="External"/><Relationship Id="rId195" Type="http://schemas.openxmlformats.org/officeDocument/2006/relationships/hyperlink" Target="https://drive.google.com/open?id=1APuuroYRLqsgxHbMcLfZxgqAR9HKxDJO" TargetMode="External"/><Relationship Id="rId19" Type="http://schemas.openxmlformats.org/officeDocument/2006/relationships/hyperlink" Target="https://drive.google.com/open?id=1IclQVGyqTFw-V6xZxjP09tpV9XtwHsLF" TargetMode="External"/><Relationship Id="rId18" Type="http://schemas.openxmlformats.org/officeDocument/2006/relationships/hyperlink" Target="https://drive.google.com/open?id=1T1kV2VivNuxpNXIYHtDvgc3FsBvKYNsM" TargetMode="External"/><Relationship Id="rId199" Type="http://schemas.openxmlformats.org/officeDocument/2006/relationships/hyperlink" Target="https://drive.google.com/open?id=12bl1N7UIvMTIunxaoblX1W_9r59aGnFr" TargetMode="External"/><Relationship Id="rId84" Type="http://schemas.openxmlformats.org/officeDocument/2006/relationships/hyperlink" Target="https://drive.google.com/open?id=1X0mRqLLcdTdwPvoz_vE3WDkLu6VJaHkd" TargetMode="External"/><Relationship Id="rId83" Type="http://schemas.openxmlformats.org/officeDocument/2006/relationships/hyperlink" Target="https://drive.google.com/open?id=1AqPhdebmDQKd8Z25rdPWXFWzU7QYygpQ" TargetMode="External"/><Relationship Id="rId86" Type="http://schemas.openxmlformats.org/officeDocument/2006/relationships/hyperlink" Target="https://drive.google.com/open?id=1x9BLWh2mOv1mfWIcgfEJvUh9fOjvfmeQ" TargetMode="External"/><Relationship Id="rId85" Type="http://schemas.openxmlformats.org/officeDocument/2006/relationships/hyperlink" Target="https://drive.google.com/open?id=1R8s8HIW2_8dvAJq3gtlhQPS4b6xa2OrU" TargetMode="External"/><Relationship Id="rId88" Type="http://schemas.openxmlformats.org/officeDocument/2006/relationships/hyperlink" Target="https://drive.google.com/open?id=1XS3yY2xdWCsiQ_IwRa4jB8b3NB9riiFf" TargetMode="External"/><Relationship Id="rId150" Type="http://schemas.openxmlformats.org/officeDocument/2006/relationships/hyperlink" Target="https://drive.google.com/open?id=1499nWUV8dHrWVlEq1Yx6zFYUNcS_shYa" TargetMode="External"/><Relationship Id="rId87" Type="http://schemas.openxmlformats.org/officeDocument/2006/relationships/hyperlink" Target="https://drive.google.com/open?id=1M5Hauz1aBLWayiVQnLtlOMjM9x3FoWe-" TargetMode="External"/><Relationship Id="rId89" Type="http://schemas.openxmlformats.org/officeDocument/2006/relationships/hyperlink" Target="https://drive.google.com/open?id=1ejB-TrIbew2v7qUQ2CTaQ5Tg1p1B6ajl" TargetMode="External"/><Relationship Id="rId80" Type="http://schemas.openxmlformats.org/officeDocument/2006/relationships/hyperlink" Target="https://drive.google.com/open?id=1leKis9bGe9lWCFxJ0iFklYlcHIvGkkWo" TargetMode="External"/><Relationship Id="rId82" Type="http://schemas.openxmlformats.org/officeDocument/2006/relationships/hyperlink" Target="https://drive.google.com/open?id=1OX6YymNyYW6AZUgGhh-tFf3vzo-WVUZX" TargetMode="External"/><Relationship Id="rId81" Type="http://schemas.openxmlformats.org/officeDocument/2006/relationships/hyperlink" Target="https://drive.google.com/open?id=1hfaZf3NW3Av82pMs63-Fi2g2yRRVxvGF" TargetMode="External"/><Relationship Id="rId1" Type="http://schemas.openxmlformats.org/officeDocument/2006/relationships/hyperlink" Target="https://drive.google.com/open?id=1LLp0DhHFSv7YQ9mS4SaARmc3ViSWnT60" TargetMode="External"/><Relationship Id="rId2" Type="http://schemas.openxmlformats.org/officeDocument/2006/relationships/hyperlink" Target="https://drive.google.com/open?id=1XxQSaNs1isYtF8bjHlTzO59tX9fN8dRC" TargetMode="External"/><Relationship Id="rId3" Type="http://schemas.openxmlformats.org/officeDocument/2006/relationships/hyperlink" Target="https://drive.google.com/open?id=1K_ZdZpR9_1SY8AClbNjUhK6jInFJnPMM" TargetMode="External"/><Relationship Id="rId149" Type="http://schemas.openxmlformats.org/officeDocument/2006/relationships/hyperlink" Target="https://drive.google.com/open?id=1sOBNo8jNuvYhXwG2LIp9PIGZfiQ_lwFQ" TargetMode="External"/><Relationship Id="rId4" Type="http://schemas.openxmlformats.org/officeDocument/2006/relationships/hyperlink" Target="https://drive.google.com/open?id=1Hl2DtrDuQfO4An7IkgEN6z7RaffCNzfK" TargetMode="External"/><Relationship Id="rId148" Type="http://schemas.openxmlformats.org/officeDocument/2006/relationships/hyperlink" Target="https://drive.google.com/open?id=1aHeULWxvYI6VjagwNcbKiK2bwBHrAFvi" TargetMode="External"/><Relationship Id="rId9" Type="http://schemas.openxmlformats.org/officeDocument/2006/relationships/hyperlink" Target="https://drive.google.com/open?id=18qSe5Wd3HacYtFgVRcZ7gnT8NLu5KdCF" TargetMode="External"/><Relationship Id="rId143" Type="http://schemas.openxmlformats.org/officeDocument/2006/relationships/hyperlink" Target="https://drive.google.com/open?id=1YpkCtwnJ5OnvX7uE_cEO8IdmBYOQfmIl" TargetMode="External"/><Relationship Id="rId142" Type="http://schemas.openxmlformats.org/officeDocument/2006/relationships/hyperlink" Target="https://drive.google.com/open?id=1yJ_KofTyTdcI8Z4o0KOIWT7A87_nnxBi" TargetMode="External"/><Relationship Id="rId141" Type="http://schemas.openxmlformats.org/officeDocument/2006/relationships/hyperlink" Target="https://drive.google.com/open?id=1dw9w5ejHNL4QDvWG6qKq4lBR9CEY3XUS" TargetMode="External"/><Relationship Id="rId140" Type="http://schemas.openxmlformats.org/officeDocument/2006/relationships/hyperlink" Target="https://drive.google.com/open?id=1h6Gt3BlO_Zd6DQ3_YeluRrtwJqgJ3NKc" TargetMode="External"/><Relationship Id="rId5" Type="http://schemas.openxmlformats.org/officeDocument/2006/relationships/hyperlink" Target="https://drive.google.com/open?id=1xPSy6Vj5sNXQJAEnGrf9XxL_NNL2whbf" TargetMode="External"/><Relationship Id="rId147" Type="http://schemas.openxmlformats.org/officeDocument/2006/relationships/hyperlink" Target="https://drive.google.com/open?id=1sxIg_ke5sdrID36fwHtJzZdt96ESUV--" TargetMode="External"/><Relationship Id="rId6" Type="http://schemas.openxmlformats.org/officeDocument/2006/relationships/hyperlink" Target="https://drive.google.com/open?id=1XGznTqBh5fTreux3oClMvKYXcwKeSI9P" TargetMode="External"/><Relationship Id="rId146" Type="http://schemas.openxmlformats.org/officeDocument/2006/relationships/hyperlink" Target="https://drive.google.com/open?id=1tCEjNNW6idzNaECky6gcTjlQB0fmIpIE" TargetMode="External"/><Relationship Id="rId7" Type="http://schemas.openxmlformats.org/officeDocument/2006/relationships/hyperlink" Target="https://drive.google.com/open?id=1ZN-dd8iexg3Gd75xR0jMd1H8YTgfDnpy" TargetMode="External"/><Relationship Id="rId145" Type="http://schemas.openxmlformats.org/officeDocument/2006/relationships/hyperlink" Target="https://drive.google.com/open?id=1hFhXalQWyMq8aP6j_O-g1byDGkN446ya" TargetMode="External"/><Relationship Id="rId8" Type="http://schemas.openxmlformats.org/officeDocument/2006/relationships/hyperlink" Target="https://drive.google.com/open?id=1FEh-9zgkO8z8ONeGNoIGM44FeGx_JwjI" TargetMode="External"/><Relationship Id="rId144" Type="http://schemas.openxmlformats.org/officeDocument/2006/relationships/hyperlink" Target="https://drive.google.com/open?id=18mEjhSwh7riH7G5D8F36DIbCfKDFpGHD" TargetMode="External"/><Relationship Id="rId73" Type="http://schemas.openxmlformats.org/officeDocument/2006/relationships/hyperlink" Target="https://drive.google.com/open?id=1RENqj_GcgamZRF2s9gq-lhPNPg786R5V" TargetMode="External"/><Relationship Id="rId72" Type="http://schemas.openxmlformats.org/officeDocument/2006/relationships/hyperlink" Target="https://drive.google.com/open?id=15Fye2Qvpb6H4F68b7-WNL6WZwSWSKKqA" TargetMode="External"/><Relationship Id="rId75" Type="http://schemas.openxmlformats.org/officeDocument/2006/relationships/hyperlink" Target="https://drive.google.com/open?id=19YCsouLClY8atURheY4iiNzrG_OtxCkE" TargetMode="External"/><Relationship Id="rId74" Type="http://schemas.openxmlformats.org/officeDocument/2006/relationships/hyperlink" Target="https://drive.google.com/open?id=1OP5_HjyYZdlDuI1tBnfWKPjrcn0UYM3T" TargetMode="External"/><Relationship Id="rId77" Type="http://schemas.openxmlformats.org/officeDocument/2006/relationships/hyperlink" Target="https://drive.google.com/open?id=17UnjNCVXu3gzauwD55BfpXyF2OybhJXu" TargetMode="External"/><Relationship Id="rId76" Type="http://schemas.openxmlformats.org/officeDocument/2006/relationships/hyperlink" Target="https://drive.google.com/open?id=1pfZEfNBCNXN9r6-HAPHZH7jhXMz6KiGp" TargetMode="External"/><Relationship Id="rId79" Type="http://schemas.openxmlformats.org/officeDocument/2006/relationships/hyperlink" Target="https://drive.google.com/open?id=1X7cUgijb5jFC8LGzNurgb0AHnoM6SVz4" TargetMode="External"/><Relationship Id="rId78" Type="http://schemas.openxmlformats.org/officeDocument/2006/relationships/hyperlink" Target="https://drive.google.com/open?id=15NuP8uGxZhOZye9Y31UGhFmBIqkPSCtO" TargetMode="External"/><Relationship Id="rId71" Type="http://schemas.openxmlformats.org/officeDocument/2006/relationships/hyperlink" Target="https://drive.google.com/open?id=1wjrZ2s9XGDzR4iCDrqNYrhbE58BVZRFW" TargetMode="External"/><Relationship Id="rId70" Type="http://schemas.openxmlformats.org/officeDocument/2006/relationships/hyperlink" Target="https://drive.google.com/open?id=1YoLDBP6PQXhBOlcBcUbuEmUZtkZG1mFo" TargetMode="External"/><Relationship Id="rId139" Type="http://schemas.openxmlformats.org/officeDocument/2006/relationships/hyperlink" Target="https://drive.google.com/open?id=1avaqxNMin1g4cq2NelZO1z6LdC-Y22g7" TargetMode="External"/><Relationship Id="rId138" Type="http://schemas.openxmlformats.org/officeDocument/2006/relationships/hyperlink" Target="https://drive.google.com/open?id=1YZZeGOzSR8TeAsnayBXaZQsnAgmgrDw7" TargetMode="External"/><Relationship Id="rId137" Type="http://schemas.openxmlformats.org/officeDocument/2006/relationships/hyperlink" Target="https://drive.google.com/open?id=1zGRju8q7cjlUZe5ZsmrZGJ3TOuKe2sXI" TargetMode="External"/><Relationship Id="rId132" Type="http://schemas.openxmlformats.org/officeDocument/2006/relationships/hyperlink" Target="https://drive.google.com/open?id=1zrESNAM1-wPKEkdDSZTRUWkE5Aq-W1dZ" TargetMode="External"/><Relationship Id="rId131" Type="http://schemas.openxmlformats.org/officeDocument/2006/relationships/hyperlink" Target="https://drive.google.com/open?id=19WkC05-t73NUNF5HhSKjOJgc-HTnzfc8" TargetMode="External"/><Relationship Id="rId130" Type="http://schemas.openxmlformats.org/officeDocument/2006/relationships/hyperlink" Target="https://drive.google.com/open?id=1SiIhjqTWkixkAj4Cepi2hrGqaC-EHwTM" TargetMode="External"/><Relationship Id="rId136" Type="http://schemas.openxmlformats.org/officeDocument/2006/relationships/hyperlink" Target="https://drive.google.com/open?id=1gMbneoBC2T__QG7-Io7FIoSDZeo-Lcgu" TargetMode="External"/><Relationship Id="rId135" Type="http://schemas.openxmlformats.org/officeDocument/2006/relationships/hyperlink" Target="https://drive.google.com/open?id=1rSgsER_qREQxMMxerFuJwl7nv8Kl-kLv" TargetMode="External"/><Relationship Id="rId134" Type="http://schemas.openxmlformats.org/officeDocument/2006/relationships/hyperlink" Target="https://drive.google.com/open?id=1VouV6s8zvD4eiDde1IX-1ZxA-lcSqHm5" TargetMode="External"/><Relationship Id="rId133" Type="http://schemas.openxmlformats.org/officeDocument/2006/relationships/hyperlink" Target="https://drive.google.com/open?id=1Ldqr4PRcjrkPw6ZoVNwPFci1QXSApX0j" TargetMode="External"/><Relationship Id="rId62" Type="http://schemas.openxmlformats.org/officeDocument/2006/relationships/hyperlink" Target="https://drive.google.com/open?id=1mvHil0IO7CfMo9NQf-oFUB9a-BpkGhW7" TargetMode="External"/><Relationship Id="rId61" Type="http://schemas.openxmlformats.org/officeDocument/2006/relationships/hyperlink" Target="https://drive.google.com/open?id=16Zfu5TN0HsL2_y7W1D8fYqyJcfviplJ8" TargetMode="External"/><Relationship Id="rId64" Type="http://schemas.openxmlformats.org/officeDocument/2006/relationships/hyperlink" Target="https://drive.google.com/open?id=1nJiWgDZX5uie8o8CKwdqH0oQfsx47xOk" TargetMode="External"/><Relationship Id="rId63" Type="http://schemas.openxmlformats.org/officeDocument/2006/relationships/hyperlink" Target="https://drive.google.com/open?id=1ODTN-pWcd8k9TBGQc4-lqOZUHbx96EsD" TargetMode="External"/><Relationship Id="rId66" Type="http://schemas.openxmlformats.org/officeDocument/2006/relationships/hyperlink" Target="https://drive.google.com/open?id=1sRAGdElVNuGrYHwHq_AQuzl5g2UxvDgY" TargetMode="External"/><Relationship Id="rId172" Type="http://schemas.openxmlformats.org/officeDocument/2006/relationships/hyperlink" Target="https://drive.google.com/open?id=16X9Nmgo5RwwD9_r6SZxh4_3BSEwvlAcu" TargetMode="External"/><Relationship Id="rId65" Type="http://schemas.openxmlformats.org/officeDocument/2006/relationships/hyperlink" Target="https://drive.google.com/open?id=1pWxVb3bORQJ-Lt9kgV_qmIrsw_dlwx2l" TargetMode="External"/><Relationship Id="rId171" Type="http://schemas.openxmlformats.org/officeDocument/2006/relationships/hyperlink" Target="https://drive.google.com/open?id=1MT28V2oi7DUdESSrzHIrVnkpZF1Tt8Sd" TargetMode="External"/><Relationship Id="rId68" Type="http://schemas.openxmlformats.org/officeDocument/2006/relationships/hyperlink" Target="https://drive.google.com/open?id=18e_rgaTur1J3fjuvAuH9Lkm6CJQ-YQCq" TargetMode="External"/><Relationship Id="rId170" Type="http://schemas.openxmlformats.org/officeDocument/2006/relationships/hyperlink" Target="https://drive.google.com/open?id=1kcrwKC2pRWQAkzURRiAzk6JvwABZes58" TargetMode="External"/><Relationship Id="rId67" Type="http://schemas.openxmlformats.org/officeDocument/2006/relationships/hyperlink" Target="https://drive.google.com/open?id=1t6rNx3QH-Ydx6h2ErzqmInFpJYlzksCg" TargetMode="External"/><Relationship Id="rId60" Type="http://schemas.openxmlformats.org/officeDocument/2006/relationships/hyperlink" Target="https://drive.google.com/open?id=1ZSc4vkTTS4RoxHWuVcMPAx-rTYLhTLo8" TargetMode="External"/><Relationship Id="rId165" Type="http://schemas.openxmlformats.org/officeDocument/2006/relationships/hyperlink" Target="https://drive.google.com/open?id=1-0wyoHPfHO5fhJD46bCt700cWs4jGpHL" TargetMode="External"/><Relationship Id="rId69" Type="http://schemas.openxmlformats.org/officeDocument/2006/relationships/hyperlink" Target="https://drive.google.com/open?id=1RnclboYaTqQkPpLr40TNuP920plvxWmT" TargetMode="External"/><Relationship Id="rId164" Type="http://schemas.openxmlformats.org/officeDocument/2006/relationships/hyperlink" Target="https://drive.google.com/open?id=1-iNvxRyyYyNEjcBfl70i_y4YEawIHblN" TargetMode="External"/><Relationship Id="rId163" Type="http://schemas.openxmlformats.org/officeDocument/2006/relationships/hyperlink" Target="https://drive.google.com/open?id=1D2n6mW7dLtcOYDTeithxwuphG8hFGagd" TargetMode="External"/><Relationship Id="rId162" Type="http://schemas.openxmlformats.org/officeDocument/2006/relationships/hyperlink" Target="https://drive.google.com/open?id=1kUs96qzz65pIlZYTksSvlzKanAEV6Duk" TargetMode="External"/><Relationship Id="rId169" Type="http://schemas.openxmlformats.org/officeDocument/2006/relationships/hyperlink" Target="https://drive.google.com/open?id=1ZOm6tvjMVCDr-_JLxJyI_q52MLYom2Qm" TargetMode="External"/><Relationship Id="rId168" Type="http://schemas.openxmlformats.org/officeDocument/2006/relationships/hyperlink" Target="https://drive.google.com/open?id=1tEoTfYEHzsJF8UHE_HnZk2oh0q4sxc2x" TargetMode="External"/><Relationship Id="rId167" Type="http://schemas.openxmlformats.org/officeDocument/2006/relationships/hyperlink" Target="https://drive.google.com/open?id=1J6VHMXBUgw1anQPt-P1zL1RZ5jORNmiz" TargetMode="External"/><Relationship Id="rId166" Type="http://schemas.openxmlformats.org/officeDocument/2006/relationships/hyperlink" Target="https://drive.google.com/open?id=1igC5to6_cnM_uRn5PLPtLrqmlwp94kg2" TargetMode="External"/><Relationship Id="rId51" Type="http://schemas.openxmlformats.org/officeDocument/2006/relationships/hyperlink" Target="https://drive.google.com/open?id=1S2bBwpfGO0-JYqn4S9YNt0YytcSBbSRi" TargetMode="External"/><Relationship Id="rId50" Type="http://schemas.openxmlformats.org/officeDocument/2006/relationships/hyperlink" Target="https://drive.google.com/open?id=1amNgBLY8Bf_704gzyKCdkg18GF7mX19I" TargetMode="External"/><Relationship Id="rId53" Type="http://schemas.openxmlformats.org/officeDocument/2006/relationships/hyperlink" Target="https://drive.google.com/open?id=1Q5zDxSaTLtZl-0SvXmxuQPR7bAlp3_JM" TargetMode="External"/><Relationship Id="rId52" Type="http://schemas.openxmlformats.org/officeDocument/2006/relationships/hyperlink" Target="https://drive.google.com/open?id=1NcKongfqQLUoO9Z8-xmrisZ0OEubDnVB" TargetMode="External"/><Relationship Id="rId55" Type="http://schemas.openxmlformats.org/officeDocument/2006/relationships/hyperlink" Target="https://drive.google.com/open?id=1WrEo0mi3-unaqzyLRB0PbQDsm1LjGIav" TargetMode="External"/><Relationship Id="rId161" Type="http://schemas.openxmlformats.org/officeDocument/2006/relationships/hyperlink" Target="https://drive.google.com/open?id=1g1ZvTYsBkLsnh1O_mglC240bVGXevzyF" TargetMode="External"/><Relationship Id="rId54" Type="http://schemas.openxmlformats.org/officeDocument/2006/relationships/hyperlink" Target="https://drive.google.com/open?id=1uoZuAJXEP_IRFHB0eeLdwNgwlG_jjTtz" TargetMode="External"/><Relationship Id="rId160" Type="http://schemas.openxmlformats.org/officeDocument/2006/relationships/hyperlink" Target="https://drive.google.com/open?id=1i5cydE5saS5DwT6UM2a6B0PkkTfa8WVP" TargetMode="External"/><Relationship Id="rId57" Type="http://schemas.openxmlformats.org/officeDocument/2006/relationships/hyperlink" Target="https://drive.google.com/open?id=1ALwKrlAm3o6QG1MTz81x8N2W6eInBQPG" TargetMode="External"/><Relationship Id="rId56" Type="http://schemas.openxmlformats.org/officeDocument/2006/relationships/hyperlink" Target="https://drive.google.com/open?id=1PPvmmpGogciSYzlr_88qEbYpQFenLn2C" TargetMode="External"/><Relationship Id="rId159" Type="http://schemas.openxmlformats.org/officeDocument/2006/relationships/hyperlink" Target="https://drive.google.com/open?id=1wQc45xeqY7QwnNOTF-enDq9GFKNzVnuv" TargetMode="External"/><Relationship Id="rId59" Type="http://schemas.openxmlformats.org/officeDocument/2006/relationships/hyperlink" Target="https://drive.google.com/open?id=10sw5VPqwej45nPhAgRE0Q5TIXJoYOUkq" TargetMode="External"/><Relationship Id="rId154" Type="http://schemas.openxmlformats.org/officeDocument/2006/relationships/hyperlink" Target="https://drive.google.com/open?id=1MapqeL9_e0p2k-dyb4DwO06mQo--rO2p" TargetMode="External"/><Relationship Id="rId58" Type="http://schemas.openxmlformats.org/officeDocument/2006/relationships/hyperlink" Target="https://drive.google.com/open?id=1irFfIyKoBHecOe9XYqVVNLrkC0Qs7pln" TargetMode="External"/><Relationship Id="rId153" Type="http://schemas.openxmlformats.org/officeDocument/2006/relationships/hyperlink" Target="https://drive.google.com/open?id=1adWh_m5alrkYZ0y94gCOvjVYRtgVcg7L" TargetMode="External"/><Relationship Id="rId152" Type="http://schemas.openxmlformats.org/officeDocument/2006/relationships/hyperlink" Target="https://drive.google.com/open?id=10-G1T1m91J1ChT6LZFHl_YX6A0ZJxuGB" TargetMode="External"/><Relationship Id="rId151" Type="http://schemas.openxmlformats.org/officeDocument/2006/relationships/hyperlink" Target="https://drive.google.com/open?id=11PbPRoAylUytm-fQVZGo4BiOht4IXHqa" TargetMode="External"/><Relationship Id="rId158" Type="http://schemas.openxmlformats.org/officeDocument/2006/relationships/hyperlink" Target="https://drive.google.com/open?id=148rV9VYbrl6QOB1K7fm-l64rqCRKqJWO" TargetMode="External"/><Relationship Id="rId157" Type="http://schemas.openxmlformats.org/officeDocument/2006/relationships/hyperlink" Target="https://drive.google.com/open?id=1FFRGcXrS4uK688cOigTy2mBW-8WhGN6n" TargetMode="External"/><Relationship Id="rId156" Type="http://schemas.openxmlformats.org/officeDocument/2006/relationships/hyperlink" Target="https://drive.google.com/open?id=1arOVkFW-gJ1fMzSWFCoN9dyOHJ3Uejse" TargetMode="External"/><Relationship Id="rId155" Type="http://schemas.openxmlformats.org/officeDocument/2006/relationships/hyperlink" Target="https://drive.google.com/open?id=10O_JCH-FxmQ6aGFBNGNpAs7i91Vb-cpU" TargetMode="External"/><Relationship Id="rId107" Type="http://schemas.openxmlformats.org/officeDocument/2006/relationships/hyperlink" Target="https://drive.google.com/open?id=1W_oRuHf3QgWiNv92BzJwa5M6cjzDITbE" TargetMode="External"/><Relationship Id="rId228" Type="http://schemas.openxmlformats.org/officeDocument/2006/relationships/hyperlink" Target="https://drive.google.com/open?id=1IUgsNMjEB5Pk2ZH840OMXXXDq5-dn2Za" TargetMode="External"/><Relationship Id="rId106" Type="http://schemas.openxmlformats.org/officeDocument/2006/relationships/hyperlink" Target="https://drive.google.com/open?id=1HQsXW6Gg7NPsFBc0tjLczmJzibekSrLL" TargetMode="External"/><Relationship Id="rId227" Type="http://schemas.openxmlformats.org/officeDocument/2006/relationships/hyperlink" Target="https://drive.google.com/open?id=1STw5tvhUaIeKs2cMDsMiaRPbiqHVayJx" TargetMode="External"/><Relationship Id="rId105" Type="http://schemas.openxmlformats.org/officeDocument/2006/relationships/hyperlink" Target="https://drive.google.com/open?id=1vvQJYTo1HpGisfD7DMpTbS0pVeWOWcqk" TargetMode="External"/><Relationship Id="rId226" Type="http://schemas.openxmlformats.org/officeDocument/2006/relationships/hyperlink" Target="https://drive.google.com/open?id=15kCU1JkdJsKaJFzPX65axPhxzoHYPhiT" TargetMode="External"/><Relationship Id="rId104" Type="http://schemas.openxmlformats.org/officeDocument/2006/relationships/hyperlink" Target="https://drive.google.com/open?id=1GfYVifaITa8g_8BAEpoLyi7toIrgRLiR" TargetMode="External"/><Relationship Id="rId225" Type="http://schemas.openxmlformats.org/officeDocument/2006/relationships/hyperlink" Target="https://drive.google.com/open?id=106MoCEn6o4Jq4Vtj8I1eUoSiWmMH0MRk" TargetMode="External"/><Relationship Id="rId109" Type="http://schemas.openxmlformats.org/officeDocument/2006/relationships/hyperlink" Target="https://drive.google.com/open?id=1L7oQIdCyKoMJ4ezswAGKUFV8F7oy0DS7" TargetMode="External"/><Relationship Id="rId108" Type="http://schemas.openxmlformats.org/officeDocument/2006/relationships/hyperlink" Target="https://drive.google.com/open?id=1g4IWlT_ZwoEdQHW3jIzrw_c7uWWGcbQx" TargetMode="External"/><Relationship Id="rId229" Type="http://schemas.openxmlformats.org/officeDocument/2006/relationships/hyperlink" Target="https://drive.google.com/open?id=1JGH3Kb5wjAkdnxY6Z8xOZwpHyQ8-gPah" TargetMode="External"/><Relationship Id="rId220" Type="http://schemas.openxmlformats.org/officeDocument/2006/relationships/hyperlink" Target="https://drive.google.com/open?id=1FBrTAb3pLhnShBVSBdIrSEfdcds_12hD" TargetMode="External"/><Relationship Id="rId103" Type="http://schemas.openxmlformats.org/officeDocument/2006/relationships/hyperlink" Target="https://drive.google.com/open?id=1BkTIVHWBPFcFZJtRyH97i8DGgglSiiXi" TargetMode="External"/><Relationship Id="rId224" Type="http://schemas.openxmlformats.org/officeDocument/2006/relationships/hyperlink" Target="https://drive.google.com/open?id=1_RZNp5zkRsVula_RxDxMBP4-UdbQQeBa" TargetMode="External"/><Relationship Id="rId102" Type="http://schemas.openxmlformats.org/officeDocument/2006/relationships/hyperlink" Target="https://drive.google.com/open?id=17W1kC7xRKiokz_aCcBO-OPJlCAhTmwPK" TargetMode="External"/><Relationship Id="rId223" Type="http://schemas.openxmlformats.org/officeDocument/2006/relationships/hyperlink" Target="https://drive.google.com/open?id=10LNu5o318d8GFOeHLMV5N6eoJkEq_-zb" TargetMode="External"/><Relationship Id="rId101" Type="http://schemas.openxmlformats.org/officeDocument/2006/relationships/hyperlink" Target="https://drive.google.com/open?id=1dIi63KZyDban8j-Klo48-Z8I4gO-yllj" TargetMode="External"/><Relationship Id="rId222" Type="http://schemas.openxmlformats.org/officeDocument/2006/relationships/hyperlink" Target="https://drive.google.com/open?id=1gYnY2isXPwzuL-DUTdxTfk9z7JXgTrri" TargetMode="External"/><Relationship Id="rId100" Type="http://schemas.openxmlformats.org/officeDocument/2006/relationships/hyperlink" Target="https://drive.google.com/open?id=1rPdUbkfx-Vu3YGhrDuPsVyS1-G2Se9XN" TargetMode="External"/><Relationship Id="rId221" Type="http://schemas.openxmlformats.org/officeDocument/2006/relationships/hyperlink" Target="https://drive.google.com/open?id=1-T_Pgsnjs9esRWx_grzhaHqhN17txcll" TargetMode="External"/><Relationship Id="rId217" Type="http://schemas.openxmlformats.org/officeDocument/2006/relationships/hyperlink" Target="https://drive.google.com/open?id=1jr9yvK8dS1wKIvjAEXba7Gy0iqfqAfxI" TargetMode="External"/><Relationship Id="rId216" Type="http://schemas.openxmlformats.org/officeDocument/2006/relationships/hyperlink" Target="https://drive.google.com/open?id=1lcgO4EsrhjejuQSYN6HPvwDsPpUz5T7s" TargetMode="External"/><Relationship Id="rId215" Type="http://schemas.openxmlformats.org/officeDocument/2006/relationships/hyperlink" Target="https://drive.google.com/open?id=1YURMqRvw72zz_NnbnnhchiNzB032BHC1" TargetMode="External"/><Relationship Id="rId214" Type="http://schemas.openxmlformats.org/officeDocument/2006/relationships/hyperlink" Target="https://drive.google.com/open?id=1tztSLcrFJEHwGAhnK-NswM1TX1qsqT3Y" TargetMode="External"/><Relationship Id="rId219" Type="http://schemas.openxmlformats.org/officeDocument/2006/relationships/hyperlink" Target="https://drive.google.com/open?id=1gJRWZkxJxmj8azIqa_G2hJM8e8rBcTJY" TargetMode="External"/><Relationship Id="rId218" Type="http://schemas.openxmlformats.org/officeDocument/2006/relationships/hyperlink" Target="https://drive.google.com/open?id=1ID9F6qUktzE7tRyLPz2Yb_MWeUMgfHho" TargetMode="External"/><Relationship Id="rId213" Type="http://schemas.openxmlformats.org/officeDocument/2006/relationships/hyperlink" Target="https://drive.google.com/open?id=1Z6urUstg0OE98OisXzSWrk2mo4erXUDG" TargetMode="External"/><Relationship Id="rId212" Type="http://schemas.openxmlformats.org/officeDocument/2006/relationships/hyperlink" Target="https://drive.google.com/open?id=194LpLUpTV3ejIv5hkQSNSEx7YHxlXGdZ" TargetMode="External"/><Relationship Id="rId211" Type="http://schemas.openxmlformats.org/officeDocument/2006/relationships/hyperlink" Target="https://drive.google.com/open?id=1S7iAnepECAJdD0JfNayAdxJsBpEJt3fu" TargetMode="External"/><Relationship Id="rId210" Type="http://schemas.openxmlformats.org/officeDocument/2006/relationships/hyperlink" Target="https://drive.google.com/open?id=1sT-IOX-YxMUPHQlhBGVJjg91YVsnT4ex" TargetMode="External"/><Relationship Id="rId129" Type="http://schemas.openxmlformats.org/officeDocument/2006/relationships/hyperlink" Target="https://drive.google.com/open?id=1BX7M-LjkZlIK1vgxK_dF8-we5p7_ayC6" TargetMode="External"/><Relationship Id="rId128" Type="http://schemas.openxmlformats.org/officeDocument/2006/relationships/hyperlink" Target="https://drive.google.com/open?id=1RJjAX7tAL9JmVgJ_K77ICJy7LSlu_qci" TargetMode="External"/><Relationship Id="rId127" Type="http://schemas.openxmlformats.org/officeDocument/2006/relationships/hyperlink" Target="https://drive.google.com/open?id=1PXv1L_vAi5cgMjFHt2uq22oVWhcVk5b7" TargetMode="External"/><Relationship Id="rId126" Type="http://schemas.openxmlformats.org/officeDocument/2006/relationships/hyperlink" Target="https://drive.google.com/open?id=14rX6YLP7JDgJ9jJ9qSUFgs8yskYTcEnJ" TargetMode="External"/><Relationship Id="rId121" Type="http://schemas.openxmlformats.org/officeDocument/2006/relationships/hyperlink" Target="https://drive.google.com/open?id=1JqMC6Gj5-VmUQy8qUy4mfooMv4ZRkNow" TargetMode="External"/><Relationship Id="rId242" Type="http://schemas.openxmlformats.org/officeDocument/2006/relationships/table" Target="../tables/table1.xml"/><Relationship Id="rId120" Type="http://schemas.openxmlformats.org/officeDocument/2006/relationships/hyperlink" Target="https://drive.google.com/open?id=1X8FIAS1BAS5ayISVTD0n_NBQK1XVEjrs" TargetMode="External"/><Relationship Id="rId240" Type="http://schemas.openxmlformats.org/officeDocument/2006/relationships/drawing" Target="../drawings/drawing1.xml"/><Relationship Id="rId125" Type="http://schemas.openxmlformats.org/officeDocument/2006/relationships/hyperlink" Target="https://drive.google.com/open?id=1Sddfe3IOGQGHdxdzVliOtZCQU4v5XqP3" TargetMode="External"/><Relationship Id="rId124" Type="http://schemas.openxmlformats.org/officeDocument/2006/relationships/hyperlink" Target="https://drive.google.com/open?id=1SRHlgEiV7qxGT0dr8-sdTOKEMmsgT_fx" TargetMode="External"/><Relationship Id="rId123" Type="http://schemas.openxmlformats.org/officeDocument/2006/relationships/hyperlink" Target="https://drive.google.com/open?id=1--OEXqY0k4yCgpUdLqDH_uYBRZvRifZA" TargetMode="External"/><Relationship Id="rId122" Type="http://schemas.openxmlformats.org/officeDocument/2006/relationships/hyperlink" Target="https://drive.google.com/open?id=1g6PtEnsd4D2LBfr-I6XLPZw-Jtt-FJh0" TargetMode="External"/><Relationship Id="rId95" Type="http://schemas.openxmlformats.org/officeDocument/2006/relationships/hyperlink" Target="https://drive.google.com/open?id=1fomt5n6LH-OT1eL2YOcu3mzmrd7xStES" TargetMode="External"/><Relationship Id="rId94" Type="http://schemas.openxmlformats.org/officeDocument/2006/relationships/hyperlink" Target="https://drive.google.com/open?id=18949QYgxBDicqyweBC59-1GiEuUnBs2k" TargetMode="External"/><Relationship Id="rId97" Type="http://schemas.openxmlformats.org/officeDocument/2006/relationships/hyperlink" Target="https://drive.google.com/open?id=1UnEFaPN-pdvcf57NAk1XFSDwTqQpvt_Y" TargetMode="External"/><Relationship Id="rId96" Type="http://schemas.openxmlformats.org/officeDocument/2006/relationships/hyperlink" Target="https://drive.google.com/open?id=1FVjtvX4D4PjwIuZMUvy0e_7Ey8OadMIZ" TargetMode="External"/><Relationship Id="rId99" Type="http://schemas.openxmlformats.org/officeDocument/2006/relationships/hyperlink" Target="https://drive.google.com/open?id=1G46qk3cU1bhcIJSElZpssvdBiaAJMcFC" TargetMode="External"/><Relationship Id="rId98" Type="http://schemas.openxmlformats.org/officeDocument/2006/relationships/hyperlink" Target="https://drive.google.com/open?id=10KLYKw6lGRXybPIqxi33OwK9XCjy-oJf" TargetMode="External"/><Relationship Id="rId91" Type="http://schemas.openxmlformats.org/officeDocument/2006/relationships/hyperlink" Target="https://drive.google.com/open?id=144f1h7fUlsRrPeQROa_PatB8XQvP_UZe" TargetMode="External"/><Relationship Id="rId90" Type="http://schemas.openxmlformats.org/officeDocument/2006/relationships/hyperlink" Target="https://drive.google.com/open?id=1Y2-XZ4GgaYkrwMGI72z8YiIzS-OypC5R" TargetMode="External"/><Relationship Id="rId93" Type="http://schemas.openxmlformats.org/officeDocument/2006/relationships/hyperlink" Target="https://drive.google.com/open?id=1Sf3jsQ_PGQ50FoMQmFvHpNQol9P-f-Ts" TargetMode="External"/><Relationship Id="rId92" Type="http://schemas.openxmlformats.org/officeDocument/2006/relationships/hyperlink" Target="https://drive.google.com/open?id=13CKANe1dWm9Mk9wFI4XcSWBGP7YqTKlg" TargetMode="External"/><Relationship Id="rId118" Type="http://schemas.openxmlformats.org/officeDocument/2006/relationships/hyperlink" Target="https://drive.google.com/open?id=1JGl8jzkW3eHToaDiWWt99IQLWQzqHqoT" TargetMode="External"/><Relationship Id="rId239" Type="http://schemas.openxmlformats.org/officeDocument/2006/relationships/hyperlink" Target="https://drive.google.com/open?id=1x3omAwqJINKMLyZ0UXCAwyIIVXftqpoE" TargetMode="External"/><Relationship Id="rId117" Type="http://schemas.openxmlformats.org/officeDocument/2006/relationships/hyperlink" Target="https://drive.google.com/open?id=1JPEXw8W6TpmtuSuW359sZZRxBAvYyeDt" TargetMode="External"/><Relationship Id="rId238" Type="http://schemas.openxmlformats.org/officeDocument/2006/relationships/hyperlink" Target="https://drive.google.com/open?id=1c3wDGk8tLbQSNZh8hZNxNqkx794nDr0h" TargetMode="External"/><Relationship Id="rId116" Type="http://schemas.openxmlformats.org/officeDocument/2006/relationships/hyperlink" Target="https://drive.google.com/open?id=1rWLZxifZxfnANx4SEtkNKtxVwO36U_nU" TargetMode="External"/><Relationship Id="rId237" Type="http://schemas.openxmlformats.org/officeDocument/2006/relationships/hyperlink" Target="https://drive.google.com/open?id=16TludwE24Or73C9-km2zrrxtAd2TXEpS" TargetMode="External"/><Relationship Id="rId115" Type="http://schemas.openxmlformats.org/officeDocument/2006/relationships/hyperlink" Target="https://drive.google.com/open?id=1ToD74IeMDrv4Mwan9jVFV0Al9KwJfzEv" TargetMode="External"/><Relationship Id="rId236" Type="http://schemas.openxmlformats.org/officeDocument/2006/relationships/hyperlink" Target="https://drive.google.com/open?id=1HHbTcVyn53m47M9TfvDYi6dm6ZE-k2kC" TargetMode="External"/><Relationship Id="rId119" Type="http://schemas.openxmlformats.org/officeDocument/2006/relationships/hyperlink" Target="https://drive.google.com/open?id=1JSPTTNRrIQ8TnPskKZHqTTQJ7KTyETrU" TargetMode="External"/><Relationship Id="rId110" Type="http://schemas.openxmlformats.org/officeDocument/2006/relationships/hyperlink" Target="https://drive.google.com/open?id=17wnR6EqCUdMYUoUnWchkDznhgCj2-NuN" TargetMode="External"/><Relationship Id="rId231" Type="http://schemas.openxmlformats.org/officeDocument/2006/relationships/hyperlink" Target="https://drive.google.com/open?id=18VpSlSxsIjFoe-5otM5fcS7G59jCUtzH" TargetMode="External"/><Relationship Id="rId230" Type="http://schemas.openxmlformats.org/officeDocument/2006/relationships/hyperlink" Target="https://drive.google.com/open?id=1JWs50stFmhtnDWm6OIjuKihzptlt__UV" TargetMode="External"/><Relationship Id="rId114" Type="http://schemas.openxmlformats.org/officeDocument/2006/relationships/hyperlink" Target="https://drive.google.com/open?id=1Twzmd0AbtS3Y2OZfAdIrldidOc-rdDRH" TargetMode="External"/><Relationship Id="rId235" Type="http://schemas.openxmlformats.org/officeDocument/2006/relationships/hyperlink" Target="https://drive.google.com/open?id=1_2krnFV0cSkpNXkpmEqWXjtPJpPPkyr_" TargetMode="External"/><Relationship Id="rId113" Type="http://schemas.openxmlformats.org/officeDocument/2006/relationships/hyperlink" Target="https://drive.google.com/open?id=1kvA3K1wm-bsSThAAqIeEn-3Af9bsAv_W" TargetMode="External"/><Relationship Id="rId234" Type="http://schemas.openxmlformats.org/officeDocument/2006/relationships/hyperlink" Target="https://drive.google.com/open?id=1mrVyogpPWabSoJFLuk0BYPPyHZEm4xmv" TargetMode="External"/><Relationship Id="rId112" Type="http://schemas.openxmlformats.org/officeDocument/2006/relationships/hyperlink" Target="https://drive.google.com/open?id=1ChRMXXAY2Ceqvpll5yl5SX5GYGs2lQxA" TargetMode="External"/><Relationship Id="rId233" Type="http://schemas.openxmlformats.org/officeDocument/2006/relationships/hyperlink" Target="https://drive.google.com/open?id=1W5R_faOSeL1PTneelRgTQk-I-T0iR5Zn" TargetMode="External"/><Relationship Id="rId111" Type="http://schemas.openxmlformats.org/officeDocument/2006/relationships/hyperlink" Target="https://drive.google.com/open?id=169iKa2Kb2Kqri-uE_pjRomKD6H3pN2py" TargetMode="External"/><Relationship Id="rId232" Type="http://schemas.openxmlformats.org/officeDocument/2006/relationships/hyperlink" Target="https://drive.google.com/open?id=1dv1Eljkp5WmW_xn1doD8FzCEkLr0alWM" TargetMode="External"/><Relationship Id="rId206" Type="http://schemas.openxmlformats.org/officeDocument/2006/relationships/hyperlink" Target="https://drive.google.com/open?id=1RyxMO5iYG8fXINzA-2vFgc3ok08Eu0z7" TargetMode="External"/><Relationship Id="rId205" Type="http://schemas.openxmlformats.org/officeDocument/2006/relationships/hyperlink" Target="https://drive.google.com/open?id=1BB4Mh-wB_J_b68DjeYq1YZb3bfU32rhQ" TargetMode="External"/><Relationship Id="rId204" Type="http://schemas.openxmlformats.org/officeDocument/2006/relationships/hyperlink" Target="https://drive.google.com/open?id=187Dq9_EkCJPbBfsbOANmbPKNi8h1RS5P" TargetMode="External"/><Relationship Id="rId203" Type="http://schemas.openxmlformats.org/officeDocument/2006/relationships/hyperlink" Target="https://drive.google.com/open?id=1gzt-KqeX5AW0w_AyocieeHcrGXtPtfiC" TargetMode="External"/><Relationship Id="rId209" Type="http://schemas.openxmlformats.org/officeDocument/2006/relationships/hyperlink" Target="https://drive.google.com/open?id=1fBVI7I1Xuv-s0wGPC2ITYUAcqBPaw32Z" TargetMode="External"/><Relationship Id="rId208" Type="http://schemas.openxmlformats.org/officeDocument/2006/relationships/hyperlink" Target="https://drive.google.com/open?id=1YPZLwsZj8bvRvygzB8JxDhO6_k-Bn5rR" TargetMode="External"/><Relationship Id="rId207" Type="http://schemas.openxmlformats.org/officeDocument/2006/relationships/hyperlink" Target="https://drive.google.com/open?id=1h6kKM2wd7TJENONN4_Rd_gTH1FHOHpQM" TargetMode="External"/><Relationship Id="rId202" Type="http://schemas.openxmlformats.org/officeDocument/2006/relationships/hyperlink" Target="https://drive.google.com/open?id=1mbvPIqsFIqiIfT3ajfcV0MD3WvpeAai2" TargetMode="External"/><Relationship Id="rId201" Type="http://schemas.openxmlformats.org/officeDocument/2006/relationships/hyperlink" Target="https://drive.google.com/open?id=1R-nVhtwkTxYDN4-ls_Rv-y82RoCjipnl" TargetMode="External"/><Relationship Id="rId200" Type="http://schemas.openxmlformats.org/officeDocument/2006/relationships/hyperlink" Target="https://drive.google.com/open?id=1Vxpt07kq7XvrdnoZELJoi7HR5JGLOhr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26.114321%2C91.7086986" TargetMode="External"/><Relationship Id="rId190" Type="http://schemas.openxmlformats.org/officeDocument/2006/relationships/hyperlink" Target="https://www.google.com/maps/search/?api=1&amp;query=26.1347951%2C91.7925199" TargetMode="External"/><Relationship Id="rId42" Type="http://schemas.openxmlformats.org/officeDocument/2006/relationships/hyperlink" Target="https://www.google.com/maps/search/?api=1&amp;query=26.1230924%2C91.6855165" TargetMode="External"/><Relationship Id="rId41" Type="http://schemas.openxmlformats.org/officeDocument/2006/relationships/hyperlink" Target="https://www.google.com/maps/search/?api=1&amp;query=26.1147258%2C91.7087387" TargetMode="External"/><Relationship Id="rId44" Type="http://schemas.openxmlformats.org/officeDocument/2006/relationships/hyperlink" Target="https://www.google.com/maps/search/?api=1&amp;query=26.1231499%2C91.6856619" TargetMode="External"/><Relationship Id="rId194" Type="http://schemas.openxmlformats.org/officeDocument/2006/relationships/hyperlink" Target="https://www.google.com/maps/search/?api=1&amp;query=26.1245104%2C91.8058502" TargetMode="External"/><Relationship Id="rId43" Type="http://schemas.openxmlformats.org/officeDocument/2006/relationships/hyperlink" Target="https://www.google.com/maps/search/?api=1&amp;query=26.1233486%2C91.6858506" TargetMode="External"/><Relationship Id="rId193" Type="http://schemas.openxmlformats.org/officeDocument/2006/relationships/hyperlink" Target="https://www.google.com/maps/search/?api=1&amp;query=26.1228871%2C91.8052793" TargetMode="External"/><Relationship Id="rId46" Type="http://schemas.openxmlformats.org/officeDocument/2006/relationships/hyperlink" Target="https://www.google.com/maps/search/?api=1&amp;query=26.1374475%2C91.6326292" TargetMode="External"/><Relationship Id="rId192" Type="http://schemas.openxmlformats.org/officeDocument/2006/relationships/hyperlink" Target="https://www.google.com/maps/search/?api=1&amp;query=26.1287721%2C91.7956" TargetMode="External"/><Relationship Id="rId45" Type="http://schemas.openxmlformats.org/officeDocument/2006/relationships/hyperlink" Target="https://www.google.com/maps/search/?api=1&amp;query=26.1168925%2C91.7187974" TargetMode="External"/><Relationship Id="rId191" Type="http://schemas.openxmlformats.org/officeDocument/2006/relationships/hyperlink" Target="https://www.google.com/maps/search/?api=1&amp;query=26.1293346%2C91.7955102" TargetMode="External"/><Relationship Id="rId48" Type="http://schemas.openxmlformats.org/officeDocument/2006/relationships/hyperlink" Target="https://www.google.com/maps/search/?api=1&amp;query=26.1223225%2C91.8087446" TargetMode="External"/><Relationship Id="rId187" Type="http://schemas.openxmlformats.org/officeDocument/2006/relationships/hyperlink" Target="https://www.google.com/maps/search/?api=1&amp;query=26.116476%2C91.7489517" TargetMode="External"/><Relationship Id="rId47" Type="http://schemas.openxmlformats.org/officeDocument/2006/relationships/hyperlink" Target="https://www.google.com/maps/search/?api=1&amp;query=26.1419737%2C91.6587198" TargetMode="External"/><Relationship Id="rId186" Type="http://schemas.openxmlformats.org/officeDocument/2006/relationships/hyperlink" Target="https://www.google.com/maps/search/?api=1&amp;query=26.1164045%2C91.7484909" TargetMode="External"/><Relationship Id="rId185" Type="http://schemas.openxmlformats.org/officeDocument/2006/relationships/hyperlink" Target="https://www.google.com/maps/search/?api=1&amp;query=26.1144917%2C91.748544" TargetMode="External"/><Relationship Id="rId49" Type="http://schemas.openxmlformats.org/officeDocument/2006/relationships/hyperlink" Target="https://www.google.com/maps/search/?api=1&amp;query=26.1271719%2C91.813211" TargetMode="External"/><Relationship Id="rId184" Type="http://schemas.openxmlformats.org/officeDocument/2006/relationships/hyperlink" Target="https://www.google.com/maps/search/?api=1&amp;query=26.1243718%2C91.7195385" TargetMode="External"/><Relationship Id="rId189" Type="http://schemas.openxmlformats.org/officeDocument/2006/relationships/hyperlink" Target="https://www.google.com/maps/search/?api=1&amp;query=26.1360745%2C91.7619628" TargetMode="External"/><Relationship Id="rId188" Type="http://schemas.openxmlformats.org/officeDocument/2006/relationships/hyperlink" Target="https://www.google.com/maps/search/?api=1&amp;query=26.1358955%2C91.7620132" TargetMode="External"/><Relationship Id="rId31" Type="http://schemas.openxmlformats.org/officeDocument/2006/relationships/hyperlink" Target="https://www.google.com/maps/search/?api=1&amp;query=26.1318581%2C91.807913" TargetMode="External"/><Relationship Id="rId30" Type="http://schemas.openxmlformats.org/officeDocument/2006/relationships/hyperlink" Target="https://www.google.com/maps/search/?api=1&amp;query=26.1326018%2C91.8070048" TargetMode="External"/><Relationship Id="rId33" Type="http://schemas.openxmlformats.org/officeDocument/2006/relationships/hyperlink" Target="https://www.google.com/maps/search/?api=1&amp;query=26.1373685%2C91.8153914" TargetMode="External"/><Relationship Id="rId183" Type="http://schemas.openxmlformats.org/officeDocument/2006/relationships/hyperlink" Target="https://www.google.com/maps/search/?api=1&amp;query=26.1243573%2C91.7196016" TargetMode="External"/><Relationship Id="rId32" Type="http://schemas.openxmlformats.org/officeDocument/2006/relationships/hyperlink" Target="https://www.google.com/maps/search/?api=1&amp;query=26.140405%2C91.8152669" TargetMode="External"/><Relationship Id="rId182" Type="http://schemas.openxmlformats.org/officeDocument/2006/relationships/hyperlink" Target="https://www.google.com/maps/search/?api=1&amp;query=26.1274046%2C91.7200048" TargetMode="External"/><Relationship Id="rId35" Type="http://schemas.openxmlformats.org/officeDocument/2006/relationships/hyperlink" Target="https://www.google.com/maps/search/?api=1&amp;query=26.1247206%2C91.805823" TargetMode="External"/><Relationship Id="rId181" Type="http://schemas.openxmlformats.org/officeDocument/2006/relationships/hyperlink" Target="https://www.google.com/maps/search/?api=1&amp;query=26.1530226%2C91.7306068" TargetMode="External"/><Relationship Id="rId34" Type="http://schemas.openxmlformats.org/officeDocument/2006/relationships/hyperlink" Target="https://www.google.com/maps/search/?api=1&amp;query=26.137204%2C91.8151736" TargetMode="External"/><Relationship Id="rId180" Type="http://schemas.openxmlformats.org/officeDocument/2006/relationships/hyperlink" Target="https://www.google.com/maps/search/?api=1&amp;query=26.1556729%2C91.7313725" TargetMode="External"/><Relationship Id="rId37" Type="http://schemas.openxmlformats.org/officeDocument/2006/relationships/hyperlink" Target="https://www.google.com/maps/search/?api=1&amp;query=26.1194968%2C91.8062219" TargetMode="External"/><Relationship Id="rId176" Type="http://schemas.openxmlformats.org/officeDocument/2006/relationships/hyperlink" Target="https://www.google.com/maps/search/?api=1&amp;query=26.1688353%2C91.7470121" TargetMode="External"/><Relationship Id="rId36" Type="http://schemas.openxmlformats.org/officeDocument/2006/relationships/hyperlink" Target="https://www.google.com/maps/search/?api=1&amp;query=26.121604%2C91.8058267" TargetMode="External"/><Relationship Id="rId175" Type="http://schemas.openxmlformats.org/officeDocument/2006/relationships/hyperlink" Target="https://www.google.com/maps/search/?api=1&amp;query=26.1735119%2C91.7572652" TargetMode="External"/><Relationship Id="rId39" Type="http://schemas.openxmlformats.org/officeDocument/2006/relationships/hyperlink" Target="https://www.google.com/maps/search/?api=1&amp;query=26.1042569%2C91.7074944" TargetMode="External"/><Relationship Id="rId174" Type="http://schemas.openxmlformats.org/officeDocument/2006/relationships/hyperlink" Target="https://www.google.com/maps/search/?api=1&amp;query=26.1734825%2C91.7567889" TargetMode="External"/><Relationship Id="rId38" Type="http://schemas.openxmlformats.org/officeDocument/2006/relationships/hyperlink" Target="https://www.google.com/maps/search/?api=1&amp;query=26.1102946%2C91.7502589" TargetMode="External"/><Relationship Id="rId173" Type="http://schemas.openxmlformats.org/officeDocument/2006/relationships/hyperlink" Target="https://www.google.com/maps/search/?api=1&amp;query=26.1735338%2C91.7571748" TargetMode="External"/><Relationship Id="rId179" Type="http://schemas.openxmlformats.org/officeDocument/2006/relationships/hyperlink" Target="https://www.google.com/maps/search/?api=1&amp;query=26.1583544%2C91.7354675" TargetMode="External"/><Relationship Id="rId178" Type="http://schemas.openxmlformats.org/officeDocument/2006/relationships/hyperlink" Target="https://www.google.com/maps/search/?api=1&amp;query=26.16216216216216%2C91.74125786226118" TargetMode="External"/><Relationship Id="rId177" Type="http://schemas.openxmlformats.org/officeDocument/2006/relationships/hyperlink" Target="https://www.google.com/maps/search/?api=1&amp;query=26.1631472%2C91.7457563" TargetMode="External"/><Relationship Id="rId20" Type="http://schemas.openxmlformats.org/officeDocument/2006/relationships/hyperlink" Target="https://www.google.com/maps/search/?api=1&amp;query=26.1584949%2C91.6858021" TargetMode="External"/><Relationship Id="rId22" Type="http://schemas.openxmlformats.org/officeDocument/2006/relationships/hyperlink" Target="https://www.google.com/maps/search/?api=1&amp;query=26.1416286%2C91.6417724" TargetMode="External"/><Relationship Id="rId21" Type="http://schemas.openxmlformats.org/officeDocument/2006/relationships/hyperlink" Target="https://www.google.com/maps/search/?api=1&amp;query=26.1552462%2C91.6764789" TargetMode="External"/><Relationship Id="rId24" Type="http://schemas.openxmlformats.org/officeDocument/2006/relationships/hyperlink" Target="https://www.google.com/maps/search/?api=1&amp;query=26.1415592%2C91.6417357" TargetMode="External"/><Relationship Id="rId23" Type="http://schemas.openxmlformats.org/officeDocument/2006/relationships/hyperlink" Target="https://www.google.com/maps/search/?api=1&amp;query=26.1415927%2C91.6417741" TargetMode="External"/><Relationship Id="rId26" Type="http://schemas.openxmlformats.org/officeDocument/2006/relationships/hyperlink" Target="https://www.google.com/maps/search/?api=1&amp;query=26.1368983%2C91.6290964" TargetMode="External"/><Relationship Id="rId25" Type="http://schemas.openxmlformats.org/officeDocument/2006/relationships/hyperlink" Target="https://www.google.com/maps/search/?api=1&amp;query=26.1376343%2C91.6285173" TargetMode="External"/><Relationship Id="rId28" Type="http://schemas.openxmlformats.org/officeDocument/2006/relationships/hyperlink" Target="https://www.google.com/maps/search/?api=1&amp;query=26.147229%2C91.6464309" TargetMode="External"/><Relationship Id="rId27" Type="http://schemas.openxmlformats.org/officeDocument/2006/relationships/hyperlink" Target="https://www.google.com/maps/search/?api=1&amp;query=26.1454617%2C91.6449292" TargetMode="External"/><Relationship Id="rId29" Type="http://schemas.openxmlformats.org/officeDocument/2006/relationships/hyperlink" Target="https://www.google.com/maps/search/?api=1&amp;query=26.1603976%2C91.666315" TargetMode="External"/><Relationship Id="rId11" Type="http://schemas.openxmlformats.org/officeDocument/2006/relationships/hyperlink" Target="https://www.google.com/maps/search/?api=1&amp;query=26.1549427%2C91.7794864" TargetMode="External"/><Relationship Id="rId10" Type="http://schemas.openxmlformats.org/officeDocument/2006/relationships/hyperlink" Target="https://www.google.com/maps/search/?api=1&amp;query=26.1544501%2C91.7792302" TargetMode="External"/><Relationship Id="rId13" Type="http://schemas.openxmlformats.org/officeDocument/2006/relationships/hyperlink" Target="https://www.google.com/maps/search/?api=1&amp;query=26.1551088%2C91.7791511" TargetMode="External"/><Relationship Id="rId12" Type="http://schemas.openxmlformats.org/officeDocument/2006/relationships/hyperlink" Target="https://www.google.com/maps/search/?api=1&amp;query=26.1261353%2C91.7974032" TargetMode="External"/><Relationship Id="rId15" Type="http://schemas.openxmlformats.org/officeDocument/2006/relationships/hyperlink" Target="https://www.google.com/maps/search/?api=1&amp;query=26.1569721%2C91.7770388" TargetMode="External"/><Relationship Id="rId198" Type="http://schemas.openxmlformats.org/officeDocument/2006/relationships/hyperlink" Target="https://www.google.com/maps/search/?api=1&amp;query=26.1341045%2C91.8249016" TargetMode="External"/><Relationship Id="rId14" Type="http://schemas.openxmlformats.org/officeDocument/2006/relationships/hyperlink" Target="https://www.google.com/maps/search/?api=1&amp;query=26.1319667%2C91.7938924" TargetMode="External"/><Relationship Id="rId197" Type="http://schemas.openxmlformats.org/officeDocument/2006/relationships/hyperlink" Target="https://www.google.com/maps/search/?api=1&amp;query=26.1337842%2C91.8244713" TargetMode="External"/><Relationship Id="rId17" Type="http://schemas.openxmlformats.org/officeDocument/2006/relationships/hyperlink" Target="https://www.google.com/maps/search/?api=1&amp;query=26.1594282%2C91.7742165" TargetMode="External"/><Relationship Id="rId196" Type="http://schemas.openxmlformats.org/officeDocument/2006/relationships/hyperlink" Target="https://www.google.com/maps/search/?api=1&amp;query=26.1294476%2C91.8064167" TargetMode="External"/><Relationship Id="rId16" Type="http://schemas.openxmlformats.org/officeDocument/2006/relationships/hyperlink" Target="https://www.google.com/maps/search/?api=1&amp;query=26.1584035%2C91.7752677" TargetMode="External"/><Relationship Id="rId195" Type="http://schemas.openxmlformats.org/officeDocument/2006/relationships/hyperlink" Target="https://www.google.com/maps/search/?api=1&amp;query=26.1255812%2C91.805959" TargetMode="External"/><Relationship Id="rId19" Type="http://schemas.openxmlformats.org/officeDocument/2006/relationships/hyperlink" Target="https://www.google.com/maps/search/?api=1&amp;query=26.1590165%2C91.6941079" TargetMode="External"/><Relationship Id="rId18" Type="http://schemas.openxmlformats.org/officeDocument/2006/relationships/hyperlink" Target="https://www.google.com/maps/search/?api=1&amp;query=26.1734722%2C91.7315021" TargetMode="External"/><Relationship Id="rId199" Type="http://schemas.openxmlformats.org/officeDocument/2006/relationships/hyperlink" Target="https://www.google.com/maps/search/?api=1&amp;query=26.1348342%2C91.8252753" TargetMode="External"/><Relationship Id="rId84" Type="http://schemas.openxmlformats.org/officeDocument/2006/relationships/hyperlink" Target="https://www.google.com/maps/search/?api=1&amp;query=26.1428814%2C91.811969" TargetMode="External"/><Relationship Id="rId83" Type="http://schemas.openxmlformats.org/officeDocument/2006/relationships/hyperlink" Target="https://www.google.com/maps/search/?api=1&amp;query=26.100049%2C91.61197" TargetMode="External"/><Relationship Id="rId86" Type="http://schemas.openxmlformats.org/officeDocument/2006/relationships/hyperlink" Target="https://www.google.com/maps/search/?api=1&amp;query=26.1685905%2C91.8274937" TargetMode="External"/><Relationship Id="rId85" Type="http://schemas.openxmlformats.org/officeDocument/2006/relationships/hyperlink" Target="https://www.google.com/maps/search/?api=1&amp;query=26.1447389%2C91.8114919" TargetMode="External"/><Relationship Id="rId88" Type="http://schemas.openxmlformats.org/officeDocument/2006/relationships/hyperlink" Target="https://www.google.com/maps/search/?api=1&amp;query=26.1783734%2C91.8297208" TargetMode="External"/><Relationship Id="rId150" Type="http://schemas.openxmlformats.org/officeDocument/2006/relationships/hyperlink" Target="https://www.google.com/maps/search/?api=1&amp;query=26.1744056%2C91.7769113" TargetMode="External"/><Relationship Id="rId87" Type="http://schemas.openxmlformats.org/officeDocument/2006/relationships/hyperlink" Target="https://www.google.com/maps/search/?api=1&amp;query=26.1691924%2C91.827971" TargetMode="External"/><Relationship Id="rId89" Type="http://schemas.openxmlformats.org/officeDocument/2006/relationships/hyperlink" Target="https://www.google.com/maps/search/?api=1&amp;query=26.1785304%2C91.8294651" TargetMode="External"/><Relationship Id="rId80" Type="http://schemas.openxmlformats.org/officeDocument/2006/relationships/hyperlink" Target="https://www.google.com/maps/search/?api=1&amp;query=26.0927973%2C91.5434864" TargetMode="External"/><Relationship Id="rId82" Type="http://schemas.openxmlformats.org/officeDocument/2006/relationships/hyperlink" Target="https://www.google.com/maps/search/?api=1&amp;query=26.1003124%2C91.599372" TargetMode="External"/><Relationship Id="rId81" Type="http://schemas.openxmlformats.org/officeDocument/2006/relationships/hyperlink" Target="https://www.google.com/maps/search/?api=1&amp;query=26.0998323%2C91.5970292" TargetMode="External"/><Relationship Id="rId1" Type="http://schemas.openxmlformats.org/officeDocument/2006/relationships/hyperlink" Target="https://www.google.com/maps/search/?api=1&amp;query=26.143083%2C91.8122021" TargetMode="External"/><Relationship Id="rId2" Type="http://schemas.openxmlformats.org/officeDocument/2006/relationships/hyperlink" Target="https://www.google.com/maps/search/?api=1&amp;query=26.133466%2C91.8317512" TargetMode="External"/><Relationship Id="rId3" Type="http://schemas.openxmlformats.org/officeDocument/2006/relationships/hyperlink" Target="https://www.google.com/maps/search/?api=1&amp;query=26.156065%2C91.78065" TargetMode="External"/><Relationship Id="rId149" Type="http://schemas.openxmlformats.org/officeDocument/2006/relationships/hyperlink" Target="https://www.google.com/maps/search/?api=1&amp;query=26.1779038%2C91.7757161" TargetMode="External"/><Relationship Id="rId4" Type="http://schemas.openxmlformats.org/officeDocument/2006/relationships/hyperlink" Target="https://www.google.com/maps/search/?api=1&amp;query=26.1508814%2C91.7834907" TargetMode="External"/><Relationship Id="rId148" Type="http://schemas.openxmlformats.org/officeDocument/2006/relationships/hyperlink" Target="https://www.google.com/maps/search/?api=1&amp;query=26.1909447%2C91.7995397" TargetMode="External"/><Relationship Id="rId9" Type="http://schemas.openxmlformats.org/officeDocument/2006/relationships/hyperlink" Target="https://www.google.com/maps/search/?api=1&amp;query=26.1535208%2C91.7803735" TargetMode="External"/><Relationship Id="rId143" Type="http://schemas.openxmlformats.org/officeDocument/2006/relationships/hyperlink" Target="https://www.google.com/maps/search/?api=1&amp;query=26.1948594%2C91.7657936" TargetMode="External"/><Relationship Id="rId142" Type="http://schemas.openxmlformats.org/officeDocument/2006/relationships/hyperlink" Target="https://www.google.com/maps/search/?api=1&amp;query=26.1948303%2C91.7656971" TargetMode="External"/><Relationship Id="rId141" Type="http://schemas.openxmlformats.org/officeDocument/2006/relationships/hyperlink" Target="https://www.google.com/maps/search/?api=1&amp;query=26.1948331%2C91.7635868" TargetMode="External"/><Relationship Id="rId140" Type="http://schemas.openxmlformats.org/officeDocument/2006/relationships/hyperlink" Target="https://www.google.com/maps/search/?api=1&amp;query=26.1604995%2C91.784379" TargetMode="External"/><Relationship Id="rId5" Type="http://schemas.openxmlformats.org/officeDocument/2006/relationships/hyperlink" Target="https://www.google.com/maps/search/?api=1&amp;query=26.13301%2C91.8298416" TargetMode="External"/><Relationship Id="rId147" Type="http://schemas.openxmlformats.org/officeDocument/2006/relationships/hyperlink" Target="https://www.google.com/maps/search/?api=1&amp;query=26.1909623%2C91.7993811" TargetMode="External"/><Relationship Id="rId6" Type="http://schemas.openxmlformats.org/officeDocument/2006/relationships/hyperlink" Target="https://www.google.com/maps/search/?api=1&amp;query=26.1327564%2C91.8166271" TargetMode="External"/><Relationship Id="rId146" Type="http://schemas.openxmlformats.org/officeDocument/2006/relationships/hyperlink" Target="https://www.google.com/maps/search/?api=1&amp;query=26.1909978%2C91.799384" TargetMode="External"/><Relationship Id="rId7" Type="http://schemas.openxmlformats.org/officeDocument/2006/relationships/hyperlink" Target="https://www.google.com/maps/search/?api=1&amp;query=26.1523644%2C91.7811835" TargetMode="External"/><Relationship Id="rId145" Type="http://schemas.openxmlformats.org/officeDocument/2006/relationships/hyperlink" Target="https://www.google.com/maps/search/?api=1&amp;query=26.1998262%2C91.779696" TargetMode="External"/><Relationship Id="rId8" Type="http://schemas.openxmlformats.org/officeDocument/2006/relationships/hyperlink" Target="https://www.google.com/maps/search/?api=1&amp;query=26.1056177%2C91.8545398" TargetMode="External"/><Relationship Id="rId144" Type="http://schemas.openxmlformats.org/officeDocument/2006/relationships/hyperlink" Target="https://www.google.com/maps/search/?api=1&amp;query=26.1989984%2C91.7752615" TargetMode="External"/><Relationship Id="rId73" Type="http://schemas.openxmlformats.org/officeDocument/2006/relationships/hyperlink" Target="https://www.google.com/maps/search/?api=1&amp;query=26.1006532%2C91.5988403" TargetMode="External"/><Relationship Id="rId72" Type="http://schemas.openxmlformats.org/officeDocument/2006/relationships/hyperlink" Target="https://www.google.com/maps/search/?api=1&amp;query=26.0928809%2C91.5397801" TargetMode="External"/><Relationship Id="rId75" Type="http://schemas.openxmlformats.org/officeDocument/2006/relationships/hyperlink" Target="https://www.google.com/maps/search/?api=1&amp;query=26.0911159%2C91.5362626" TargetMode="External"/><Relationship Id="rId74" Type="http://schemas.openxmlformats.org/officeDocument/2006/relationships/hyperlink" Target="https://www.google.com/maps/search/?api=1&amp;query=26.0668545%2C91.5294082" TargetMode="External"/><Relationship Id="rId77" Type="http://schemas.openxmlformats.org/officeDocument/2006/relationships/hyperlink" Target="https://www.google.com/maps/search/?api=1&amp;query=26.0933345%2C91.5367203" TargetMode="External"/><Relationship Id="rId76" Type="http://schemas.openxmlformats.org/officeDocument/2006/relationships/hyperlink" Target="https://www.google.com/maps/search/?api=1&amp;query=26.0936503%2C91.5367321" TargetMode="External"/><Relationship Id="rId79" Type="http://schemas.openxmlformats.org/officeDocument/2006/relationships/hyperlink" Target="https://www.google.com/maps/search/?api=1&amp;query=26.0940715%2C91.5368063" TargetMode="External"/><Relationship Id="rId78" Type="http://schemas.openxmlformats.org/officeDocument/2006/relationships/hyperlink" Target="https://www.google.com/maps/search/?api=1&amp;query=26.0940945%2C91.536815" TargetMode="External"/><Relationship Id="rId71" Type="http://schemas.openxmlformats.org/officeDocument/2006/relationships/hyperlink" Target="https://www.google.com/maps/search/?api=1&amp;query=26.0928316%2C91.5372771" TargetMode="External"/><Relationship Id="rId70" Type="http://schemas.openxmlformats.org/officeDocument/2006/relationships/hyperlink" Target="https://www.google.com/maps/search/?api=1&amp;query=26.092794%2C91.5361209" TargetMode="External"/><Relationship Id="rId139" Type="http://schemas.openxmlformats.org/officeDocument/2006/relationships/hyperlink" Target="https://www.google.com/maps/search/?api=1&amp;query=26.1922409%2C91.7521903" TargetMode="External"/><Relationship Id="rId138" Type="http://schemas.openxmlformats.org/officeDocument/2006/relationships/hyperlink" Target="https://www.google.com/maps/search/?api=1&amp;query=26.1922173%2C91.7523218" TargetMode="External"/><Relationship Id="rId137" Type="http://schemas.openxmlformats.org/officeDocument/2006/relationships/hyperlink" Target="https://www.google.com/maps/search/?api=1&amp;query=26.1866388%2C91.7433694" TargetMode="External"/><Relationship Id="rId132" Type="http://schemas.openxmlformats.org/officeDocument/2006/relationships/hyperlink" Target="https://www.google.com/maps/search/?api=1&amp;query=26.1859208%2C91.7756262" TargetMode="External"/><Relationship Id="rId131" Type="http://schemas.openxmlformats.org/officeDocument/2006/relationships/hyperlink" Target="https://www.google.com/maps/search/?api=1&amp;query=26.1858244%2C91.7754594" TargetMode="External"/><Relationship Id="rId130" Type="http://schemas.openxmlformats.org/officeDocument/2006/relationships/hyperlink" Target="https://www.google.com/maps/search/?api=1&amp;query=26.1833829%2C91.7823086" TargetMode="External"/><Relationship Id="rId136" Type="http://schemas.openxmlformats.org/officeDocument/2006/relationships/hyperlink" Target="https://www.google.com/maps/search/?api=1&amp;query=26.1743739%2C91.7769738" TargetMode="External"/><Relationship Id="rId135" Type="http://schemas.openxmlformats.org/officeDocument/2006/relationships/hyperlink" Target="https://www.google.com/maps/search/?api=1&amp;query=26.1708036%2C91.7781096" TargetMode="External"/><Relationship Id="rId134" Type="http://schemas.openxmlformats.org/officeDocument/2006/relationships/hyperlink" Target="https://www.google.com/maps/search/?api=1&amp;query=26.1699016%2C91.7781599" TargetMode="External"/><Relationship Id="rId133" Type="http://schemas.openxmlformats.org/officeDocument/2006/relationships/hyperlink" Target="https://www.google.com/maps/search/?api=1&amp;query=26.1765894%2C91.7761696" TargetMode="External"/><Relationship Id="rId62" Type="http://schemas.openxmlformats.org/officeDocument/2006/relationships/hyperlink" Target="https://www.google.com/maps/search/?api=1&amp;query=26.1496669%2C91.6699622" TargetMode="External"/><Relationship Id="rId61" Type="http://schemas.openxmlformats.org/officeDocument/2006/relationships/hyperlink" Target="https://www.google.com/maps/search/?api=1&amp;query=26.1497712%2C91.6706637" TargetMode="External"/><Relationship Id="rId64" Type="http://schemas.openxmlformats.org/officeDocument/2006/relationships/hyperlink" Target="https://www.google.com/maps/search/?api=1&amp;query=26.1212675%2C91.6160886" TargetMode="External"/><Relationship Id="rId63" Type="http://schemas.openxmlformats.org/officeDocument/2006/relationships/hyperlink" Target="https://www.google.com/maps/search/?api=1&amp;query=26.1228855%2C91.6171003" TargetMode="External"/><Relationship Id="rId66" Type="http://schemas.openxmlformats.org/officeDocument/2006/relationships/hyperlink" Target="https://www.google.com/maps/search/?api=1&amp;query=26.1189909%2C91.6146966" TargetMode="External"/><Relationship Id="rId172" Type="http://schemas.openxmlformats.org/officeDocument/2006/relationships/hyperlink" Target="https://www.google.com/maps/search/?api=1&amp;query=26.1743512%2C91.7574969" TargetMode="External"/><Relationship Id="rId65" Type="http://schemas.openxmlformats.org/officeDocument/2006/relationships/hyperlink" Target="https://www.google.com/maps/search/?api=1&amp;query=26.1212675%2C91.6160886" TargetMode="External"/><Relationship Id="rId171" Type="http://schemas.openxmlformats.org/officeDocument/2006/relationships/hyperlink" Target="https://www.google.com/maps/search/?api=1&amp;query=26.1608535%2C91.734101" TargetMode="External"/><Relationship Id="rId68" Type="http://schemas.openxmlformats.org/officeDocument/2006/relationships/hyperlink" Target="https://www.google.com/maps/search/?api=1&amp;query=26.0903883%2C91.5359441" TargetMode="External"/><Relationship Id="rId170" Type="http://schemas.openxmlformats.org/officeDocument/2006/relationships/hyperlink" Target="https://www.google.com/maps/search/?api=1&amp;query=26.1608865%2C91.7341239" TargetMode="External"/><Relationship Id="rId67" Type="http://schemas.openxmlformats.org/officeDocument/2006/relationships/hyperlink" Target="https://www.google.com/maps/search/?api=1&amp;query=26.1189531%2C91.6150266" TargetMode="External"/><Relationship Id="rId60" Type="http://schemas.openxmlformats.org/officeDocument/2006/relationships/hyperlink" Target="https://www.google.com/maps/search/?api=1&amp;query=26.1501826%2C91.6713809" TargetMode="External"/><Relationship Id="rId165" Type="http://schemas.openxmlformats.org/officeDocument/2006/relationships/hyperlink" Target="https://www.google.com/maps/search/?api=1&amp;query=26.1273699%2C91.7199332" TargetMode="External"/><Relationship Id="rId69" Type="http://schemas.openxmlformats.org/officeDocument/2006/relationships/hyperlink" Target="https://www.google.com/maps/search/?api=1&amp;query=26.0909822%2C91.5360604" TargetMode="External"/><Relationship Id="rId164" Type="http://schemas.openxmlformats.org/officeDocument/2006/relationships/hyperlink" Target="https://www.google.com/maps/search/?api=1&amp;query=26.1273854%2C91.7199414" TargetMode="External"/><Relationship Id="rId163" Type="http://schemas.openxmlformats.org/officeDocument/2006/relationships/hyperlink" Target="https://www.google.com/maps/search/?api=1&amp;query=26.1336647%2C91.722918" TargetMode="External"/><Relationship Id="rId162" Type="http://schemas.openxmlformats.org/officeDocument/2006/relationships/hyperlink" Target="https://www.google.com/maps/search/?api=1&amp;query=26.1392437%2C91.725228" TargetMode="External"/><Relationship Id="rId169" Type="http://schemas.openxmlformats.org/officeDocument/2006/relationships/hyperlink" Target="https://www.google.com/maps/search/?api=1&amp;query=26.1238498%2C91.7193519" TargetMode="External"/><Relationship Id="rId168" Type="http://schemas.openxmlformats.org/officeDocument/2006/relationships/hyperlink" Target="https://www.google.com/maps/search/?api=1&amp;query=26.1181811%2C91.7087833" TargetMode="External"/><Relationship Id="rId167" Type="http://schemas.openxmlformats.org/officeDocument/2006/relationships/hyperlink" Target="https://www.google.com/maps/search/?api=1&amp;query=26.1204108%2C91.7177378" TargetMode="External"/><Relationship Id="rId166" Type="http://schemas.openxmlformats.org/officeDocument/2006/relationships/hyperlink" Target="https://www.google.com/maps/search/?api=1&amp;query=26.1237486%2C91.7193451" TargetMode="External"/><Relationship Id="rId51" Type="http://schemas.openxmlformats.org/officeDocument/2006/relationships/hyperlink" Target="https://www.google.com/maps/search/?api=1&amp;query=26.1287194%2C91.8113481" TargetMode="External"/><Relationship Id="rId50" Type="http://schemas.openxmlformats.org/officeDocument/2006/relationships/hyperlink" Target="https://www.google.com/maps/search/?api=1&amp;query=26.1273086%2C91.8130481" TargetMode="External"/><Relationship Id="rId53" Type="http://schemas.openxmlformats.org/officeDocument/2006/relationships/hyperlink" Target="https://www.google.com/maps/search/?api=1&amp;query=26.1375921%2C91.8110318" TargetMode="External"/><Relationship Id="rId52" Type="http://schemas.openxmlformats.org/officeDocument/2006/relationships/hyperlink" Target="https://www.google.com/maps/search/?api=1&amp;query=26.1328454%2C91.8084186" TargetMode="External"/><Relationship Id="rId55" Type="http://schemas.openxmlformats.org/officeDocument/2006/relationships/hyperlink" Target="https://www.google.com/maps/search/?api=1&amp;query=26.1401414%2C91.7876469" TargetMode="External"/><Relationship Id="rId161" Type="http://schemas.openxmlformats.org/officeDocument/2006/relationships/hyperlink" Target="https://www.google.com/maps/search/?api=1&amp;query=26.1413952%2C91.725983" TargetMode="External"/><Relationship Id="rId54" Type="http://schemas.openxmlformats.org/officeDocument/2006/relationships/hyperlink" Target="https://www.google.com/maps/search/?api=1&amp;query=26.1412074%2C91.8114867" TargetMode="External"/><Relationship Id="rId160" Type="http://schemas.openxmlformats.org/officeDocument/2006/relationships/hyperlink" Target="https://www.google.com/maps/search/?api=1&amp;query=26.1485778%2C91.7286477" TargetMode="External"/><Relationship Id="rId57" Type="http://schemas.openxmlformats.org/officeDocument/2006/relationships/hyperlink" Target="https://www.google.com/maps/search/?api=1&amp;query=26.1441035%2C91.782363" TargetMode="External"/><Relationship Id="rId56" Type="http://schemas.openxmlformats.org/officeDocument/2006/relationships/hyperlink" Target="https://www.google.com/maps/search/?api=1&amp;query=26.1446114%2C91.7851826" TargetMode="External"/><Relationship Id="rId159" Type="http://schemas.openxmlformats.org/officeDocument/2006/relationships/hyperlink" Target="https://www.google.com/maps/search/?api=1&amp;query=26.1558207%2C91.731309" TargetMode="External"/><Relationship Id="rId59" Type="http://schemas.openxmlformats.org/officeDocument/2006/relationships/hyperlink" Target="https://www.google.com/maps/search/?api=1&amp;query=26.1911369%2C91.7557362" TargetMode="External"/><Relationship Id="rId154" Type="http://schemas.openxmlformats.org/officeDocument/2006/relationships/hyperlink" Target="https://www.google.com/maps/search/?api=1&amp;query=26.1680488%2C91.7464672" TargetMode="External"/><Relationship Id="rId58" Type="http://schemas.openxmlformats.org/officeDocument/2006/relationships/hyperlink" Target="https://www.google.com/maps/search/?api=1&amp;query=26.1444113%2C91.7840211" TargetMode="External"/><Relationship Id="rId153" Type="http://schemas.openxmlformats.org/officeDocument/2006/relationships/hyperlink" Target="https://www.google.com/maps/search/?api=1&amp;query=26.1693782%2C91.7546054" TargetMode="External"/><Relationship Id="rId152" Type="http://schemas.openxmlformats.org/officeDocument/2006/relationships/hyperlink" Target="https://www.google.com/maps/search/?api=1&amp;query=26.1709844%2C91.7555171" TargetMode="External"/><Relationship Id="rId151" Type="http://schemas.openxmlformats.org/officeDocument/2006/relationships/hyperlink" Target="https://www.google.com/maps/search/?api=1&amp;query=26.1709282%2C91.7554801" TargetMode="External"/><Relationship Id="rId158" Type="http://schemas.openxmlformats.org/officeDocument/2006/relationships/hyperlink" Target="https://www.google.com/maps/search/?api=1&amp;query=26.1567253%2C91.7322437" TargetMode="External"/><Relationship Id="rId157" Type="http://schemas.openxmlformats.org/officeDocument/2006/relationships/hyperlink" Target="https://www.google.com/maps/search/?api=1&amp;query=26.1576587%2C91.732802" TargetMode="External"/><Relationship Id="rId156" Type="http://schemas.openxmlformats.org/officeDocument/2006/relationships/hyperlink" Target="https://www.google.com/maps/search/?api=1&amp;query=26.1584712%2C91.7346103" TargetMode="External"/><Relationship Id="rId155" Type="http://schemas.openxmlformats.org/officeDocument/2006/relationships/hyperlink" Target="https://www.google.com/maps/search/?api=1&amp;query=26.1681013%2C91.746434" TargetMode="External"/><Relationship Id="rId107" Type="http://schemas.openxmlformats.org/officeDocument/2006/relationships/hyperlink" Target="https://www.google.com/maps/search/?api=1&amp;query=26.1683273%2C91.8297838" TargetMode="External"/><Relationship Id="rId228" Type="http://schemas.openxmlformats.org/officeDocument/2006/relationships/hyperlink" Target="https://www.google.com/maps/search/?api=1&amp;query=26.1565738%2C91.7828297" TargetMode="External"/><Relationship Id="rId106" Type="http://schemas.openxmlformats.org/officeDocument/2006/relationships/hyperlink" Target="https://www.google.com/maps/search/?api=1&amp;query=26.1242208%2C91.8166882" TargetMode="External"/><Relationship Id="rId227" Type="http://schemas.openxmlformats.org/officeDocument/2006/relationships/hyperlink" Target="https://www.google.com/maps/search/?api=1&amp;query=26.1670259%2C91.7790536" TargetMode="External"/><Relationship Id="rId105" Type="http://schemas.openxmlformats.org/officeDocument/2006/relationships/hyperlink" Target="https://www.google.com/maps/search/?api=1&amp;query=26.1242639%2C91.8166491" TargetMode="External"/><Relationship Id="rId226" Type="http://schemas.openxmlformats.org/officeDocument/2006/relationships/hyperlink" Target="https://www.google.com/maps/search/?api=1&amp;query=26.167136%2C91.7792045" TargetMode="External"/><Relationship Id="rId104" Type="http://schemas.openxmlformats.org/officeDocument/2006/relationships/hyperlink" Target="https://www.google.com/maps/search/?api=1&amp;query=26.1656377%2C91.8313502" TargetMode="External"/><Relationship Id="rId225" Type="http://schemas.openxmlformats.org/officeDocument/2006/relationships/hyperlink" Target="https://www.google.com/maps/search/?api=1&amp;query=26.1729988%2C91.7865732" TargetMode="External"/><Relationship Id="rId109" Type="http://schemas.openxmlformats.org/officeDocument/2006/relationships/hyperlink" Target="https://www.google.com/maps/search/?api=1&amp;query=26.1249622%2C91.8160205" TargetMode="External"/><Relationship Id="rId108" Type="http://schemas.openxmlformats.org/officeDocument/2006/relationships/hyperlink" Target="https://www.google.com/maps/search/?api=1&amp;query=26.1815903%2C91.8029635" TargetMode="External"/><Relationship Id="rId229" Type="http://schemas.openxmlformats.org/officeDocument/2006/relationships/hyperlink" Target="https://www.google.com/maps/search/?api=1&amp;query=26.1475524%2C91.7888759" TargetMode="External"/><Relationship Id="rId220" Type="http://schemas.openxmlformats.org/officeDocument/2006/relationships/hyperlink" Target="https://www.google.com/maps/search/?api=1&amp;query=26.1728649%2C91.7606098" TargetMode="External"/><Relationship Id="rId103" Type="http://schemas.openxmlformats.org/officeDocument/2006/relationships/hyperlink" Target="https://www.google.com/maps/search/?api=1&amp;query=26.1593066%2C91.8376276" TargetMode="External"/><Relationship Id="rId224" Type="http://schemas.openxmlformats.org/officeDocument/2006/relationships/hyperlink" Target="https://www.google.com/maps/search/?api=1&amp;query=26.1729609%2C91.786348" TargetMode="External"/><Relationship Id="rId102" Type="http://schemas.openxmlformats.org/officeDocument/2006/relationships/hyperlink" Target="https://www.google.com/maps/search/?api=1&amp;query=26.1194435%2C91.8260692" TargetMode="External"/><Relationship Id="rId223" Type="http://schemas.openxmlformats.org/officeDocument/2006/relationships/hyperlink" Target="https://www.google.com/maps/search/?api=1&amp;query=26.1775034%2C91.8039445" TargetMode="External"/><Relationship Id="rId101" Type="http://schemas.openxmlformats.org/officeDocument/2006/relationships/hyperlink" Target="https://www.google.com/maps/search/?api=1&amp;query=26.1518013%2C91.870668" TargetMode="External"/><Relationship Id="rId222" Type="http://schemas.openxmlformats.org/officeDocument/2006/relationships/hyperlink" Target="https://www.google.com/maps/search/?api=1&amp;query=26.1683108%2C91.7650948" TargetMode="External"/><Relationship Id="rId100" Type="http://schemas.openxmlformats.org/officeDocument/2006/relationships/hyperlink" Target="https://www.google.com/maps/search/?api=1&amp;query=26.16005296155247%2C91.77348179580834" TargetMode="External"/><Relationship Id="rId221" Type="http://schemas.openxmlformats.org/officeDocument/2006/relationships/hyperlink" Target="https://www.google.com/maps/search/?api=1&amp;query=26.1719506%2C91.7615638" TargetMode="External"/><Relationship Id="rId217" Type="http://schemas.openxmlformats.org/officeDocument/2006/relationships/hyperlink" Target="https://www.google.com/maps/search/?api=1&amp;query=26.1910978%2C91.7557828" TargetMode="External"/><Relationship Id="rId216" Type="http://schemas.openxmlformats.org/officeDocument/2006/relationships/hyperlink" Target="https://www.google.com/maps/search/?api=1&amp;query=26.1496415%2C91.7861329" TargetMode="External"/><Relationship Id="rId215" Type="http://schemas.openxmlformats.org/officeDocument/2006/relationships/hyperlink" Target="https://www.google.com/maps/search/?api=1&amp;query=26.1520986%2C91.7848891" TargetMode="External"/><Relationship Id="rId214" Type="http://schemas.openxmlformats.org/officeDocument/2006/relationships/hyperlink" Target="https://www.google.com/maps/search/?api=1&amp;query=26.1519561%2C91.7849914" TargetMode="External"/><Relationship Id="rId219" Type="http://schemas.openxmlformats.org/officeDocument/2006/relationships/hyperlink" Target="https://www.google.com/maps/search/?api=1&amp;query=26.1922103%2C91.7523936" TargetMode="External"/><Relationship Id="rId218" Type="http://schemas.openxmlformats.org/officeDocument/2006/relationships/hyperlink" Target="https://www.google.com/maps/search/?api=1&amp;query=26.1922103%2C91.7523936" TargetMode="External"/><Relationship Id="rId213" Type="http://schemas.openxmlformats.org/officeDocument/2006/relationships/hyperlink" Target="https://www.google.com/maps/search/?api=1&amp;query=26.1546983%2C91.7815357" TargetMode="External"/><Relationship Id="rId212" Type="http://schemas.openxmlformats.org/officeDocument/2006/relationships/hyperlink" Target="https://www.google.com/maps/search/?api=1&amp;query=26.1547592%2C91.7814944" TargetMode="External"/><Relationship Id="rId211" Type="http://schemas.openxmlformats.org/officeDocument/2006/relationships/hyperlink" Target="https://www.google.com/maps/search/?api=1&amp;query=26.154735%2C91.7817436" TargetMode="External"/><Relationship Id="rId210" Type="http://schemas.openxmlformats.org/officeDocument/2006/relationships/hyperlink" Target="https://www.google.com/maps/search/?api=1&amp;query=26.1582204%2C91.7784664" TargetMode="External"/><Relationship Id="rId129" Type="http://schemas.openxmlformats.org/officeDocument/2006/relationships/hyperlink" Target="https://www.google.com/maps/search/?api=1&amp;query=26.1837941%2C91.7800973" TargetMode="External"/><Relationship Id="rId128" Type="http://schemas.openxmlformats.org/officeDocument/2006/relationships/hyperlink" Target="https://www.google.com/maps/search/?api=1&amp;query=26.174859%2C91.772613" TargetMode="External"/><Relationship Id="rId127" Type="http://schemas.openxmlformats.org/officeDocument/2006/relationships/hyperlink" Target="https://www.google.com/maps/search/?api=1&amp;query=26.1847989%2C91.7747168" TargetMode="External"/><Relationship Id="rId126" Type="http://schemas.openxmlformats.org/officeDocument/2006/relationships/hyperlink" Target="https://www.google.com/maps/search/?api=1&amp;query=26.1804374%2C91.7752961" TargetMode="External"/><Relationship Id="rId121" Type="http://schemas.openxmlformats.org/officeDocument/2006/relationships/hyperlink" Target="https://www.google.com/maps/search/?api=1&amp;query=26.1552561%2C91.7789979" TargetMode="External"/><Relationship Id="rId242" Type="http://schemas.openxmlformats.org/officeDocument/2006/relationships/hyperlink" Target="https://www.google.com/maps/search/?api=1&amp;query=26.1917426%2C91.7541338" TargetMode="External"/><Relationship Id="rId120" Type="http://schemas.openxmlformats.org/officeDocument/2006/relationships/hyperlink" Target="https://www.google.com/maps/search/?api=1&amp;query=26.1850311%2C91.7580076" TargetMode="External"/><Relationship Id="rId241" Type="http://schemas.openxmlformats.org/officeDocument/2006/relationships/hyperlink" Target="https://www.google.com/maps/search/?api=1&amp;query=26.1261985%2C91.8059019" TargetMode="External"/><Relationship Id="rId240" Type="http://schemas.openxmlformats.org/officeDocument/2006/relationships/hyperlink" Target="https://www.google.com/maps/search/?api=1&amp;query=26.1289636%2C91.8059348" TargetMode="External"/><Relationship Id="rId125" Type="http://schemas.openxmlformats.org/officeDocument/2006/relationships/hyperlink" Target="https://www.google.com/maps/search/?api=1&amp;query=26.1679209%2C91.7791321" TargetMode="External"/><Relationship Id="rId124" Type="http://schemas.openxmlformats.org/officeDocument/2006/relationships/hyperlink" Target="https://www.google.com/maps/search/?api=1&amp;query=26.1740238%2C91.7770492" TargetMode="External"/><Relationship Id="rId123" Type="http://schemas.openxmlformats.org/officeDocument/2006/relationships/hyperlink" Target="https://www.google.com/maps/search/?api=1&amp;query=26.1716081%2C91.777868" TargetMode="External"/><Relationship Id="rId244" Type="http://schemas.openxmlformats.org/officeDocument/2006/relationships/drawing" Target="../drawings/drawing2.xml"/><Relationship Id="rId122" Type="http://schemas.openxmlformats.org/officeDocument/2006/relationships/hyperlink" Target="https://www.google.com/maps/search/?api=1&amp;query=26.1674586%2C91.779143" TargetMode="External"/><Relationship Id="rId243" Type="http://schemas.openxmlformats.org/officeDocument/2006/relationships/hyperlink" Target="https://www.google.com/maps/search/?api=1&amp;query=26.1498545%2C91.7715468" TargetMode="External"/><Relationship Id="rId95" Type="http://schemas.openxmlformats.org/officeDocument/2006/relationships/hyperlink" Target="https://www.google.com/maps/search/?api=1&amp;query=26.15994570608215%2C91.77342455728025" TargetMode="External"/><Relationship Id="rId94" Type="http://schemas.openxmlformats.org/officeDocument/2006/relationships/hyperlink" Target="https://www.google.com/maps/search/?api=1&amp;query=26.159947906980292%2C91.77342801593977" TargetMode="External"/><Relationship Id="rId97" Type="http://schemas.openxmlformats.org/officeDocument/2006/relationships/hyperlink" Target="https://www.google.com/maps/search/?api=1&amp;query=26.1770375%2C91.8306062" TargetMode="External"/><Relationship Id="rId96" Type="http://schemas.openxmlformats.org/officeDocument/2006/relationships/hyperlink" Target="https://www.google.com/maps/search/?api=1&amp;query=26.1769797%2C91.8305447" TargetMode="External"/><Relationship Id="rId99" Type="http://schemas.openxmlformats.org/officeDocument/2006/relationships/hyperlink" Target="https://www.google.com/maps/search/?api=1&amp;query=26.172029%2C91.8297248" TargetMode="External"/><Relationship Id="rId98" Type="http://schemas.openxmlformats.org/officeDocument/2006/relationships/hyperlink" Target="https://www.google.com/maps/search/?api=1&amp;query=26.1765132%2C91.8307312" TargetMode="External"/><Relationship Id="rId91" Type="http://schemas.openxmlformats.org/officeDocument/2006/relationships/hyperlink" Target="https://www.google.com/maps/search/?api=1&amp;query=26.1764785%2C91.8033764" TargetMode="External"/><Relationship Id="rId90" Type="http://schemas.openxmlformats.org/officeDocument/2006/relationships/hyperlink" Target="https://www.google.com/maps/search/?api=1&amp;query=26.1775338%2C91.8040292" TargetMode="External"/><Relationship Id="rId93" Type="http://schemas.openxmlformats.org/officeDocument/2006/relationships/hyperlink" Target="https://www.google.com/maps/search/?api=1&amp;query=26.1687739%2C91.7799504" TargetMode="External"/><Relationship Id="rId92" Type="http://schemas.openxmlformats.org/officeDocument/2006/relationships/hyperlink" Target="https://www.google.com/maps/search/?api=1&amp;query=26.1687739%2C91.7799504" TargetMode="External"/><Relationship Id="rId118" Type="http://schemas.openxmlformats.org/officeDocument/2006/relationships/hyperlink" Target="https://www.google.com/maps/search/?api=1&amp;query=26.1834718%2C91.7816197" TargetMode="External"/><Relationship Id="rId239" Type="http://schemas.openxmlformats.org/officeDocument/2006/relationships/hyperlink" Target="https://www.google.com/maps/search/?api=1&amp;query=26.1944846%2C91.7546639" TargetMode="External"/><Relationship Id="rId117" Type="http://schemas.openxmlformats.org/officeDocument/2006/relationships/hyperlink" Target="https://www.google.com/maps/search/?api=1&amp;query=26.1384311%2C91.7998708" TargetMode="External"/><Relationship Id="rId238" Type="http://schemas.openxmlformats.org/officeDocument/2006/relationships/hyperlink" Target="https://www.google.com/maps/search/?api=1&amp;query=26.1944066%2C91.7545064" TargetMode="External"/><Relationship Id="rId116" Type="http://schemas.openxmlformats.org/officeDocument/2006/relationships/hyperlink" Target="https://www.google.com/maps/search/?api=1&amp;query=26.1834813%2C91.781615" TargetMode="External"/><Relationship Id="rId237" Type="http://schemas.openxmlformats.org/officeDocument/2006/relationships/hyperlink" Target="https://www.google.com/maps/search/?api=1&amp;query=26.1942521%2C91.7544454" TargetMode="External"/><Relationship Id="rId115" Type="http://schemas.openxmlformats.org/officeDocument/2006/relationships/hyperlink" Target="https://www.google.com/maps/search/?api=1&amp;query=26.1864637%2C91.7885891" TargetMode="External"/><Relationship Id="rId236" Type="http://schemas.openxmlformats.org/officeDocument/2006/relationships/hyperlink" Target="https://www.google.com/maps/search/?api=1&amp;query=26.1942614%2C91.7544336" TargetMode="External"/><Relationship Id="rId119" Type="http://schemas.openxmlformats.org/officeDocument/2006/relationships/hyperlink" Target="https://www.google.com/maps/search/?api=1&amp;query=26.1850311%2C91.7580076" TargetMode="External"/><Relationship Id="rId110" Type="http://schemas.openxmlformats.org/officeDocument/2006/relationships/hyperlink" Target="https://www.google.com/maps/search/?api=1&amp;query=26.1822893%2C91.8006371" TargetMode="External"/><Relationship Id="rId231" Type="http://schemas.openxmlformats.org/officeDocument/2006/relationships/hyperlink" Target="https://www.google.com/maps/search/?api=1&amp;query=26.1939007%2C91.7537025" TargetMode="External"/><Relationship Id="rId230" Type="http://schemas.openxmlformats.org/officeDocument/2006/relationships/hyperlink" Target="https://www.google.com/maps/search/?api=1&amp;query=26.1424144%2C91.7949627" TargetMode="External"/><Relationship Id="rId114" Type="http://schemas.openxmlformats.org/officeDocument/2006/relationships/hyperlink" Target="https://www.google.com/maps/search/?api=1&amp;query=26.1273899%2C91.8128035" TargetMode="External"/><Relationship Id="rId235" Type="http://schemas.openxmlformats.org/officeDocument/2006/relationships/hyperlink" Target="https://www.google.com/maps/search/?api=1&amp;query=26.1942088%2C91.7542757" TargetMode="External"/><Relationship Id="rId113" Type="http://schemas.openxmlformats.org/officeDocument/2006/relationships/hyperlink" Target="https://www.google.com/maps/search/?api=1&amp;query=26.1885529%2C91.7899111" TargetMode="External"/><Relationship Id="rId234" Type="http://schemas.openxmlformats.org/officeDocument/2006/relationships/hyperlink" Target="https://www.google.com/maps/search/?api=1&amp;query=26.1940272%2C91.7540518" TargetMode="External"/><Relationship Id="rId112" Type="http://schemas.openxmlformats.org/officeDocument/2006/relationships/hyperlink" Target="https://www.google.com/maps/search/?api=1&amp;query=26.1252954%2C91.8173404" TargetMode="External"/><Relationship Id="rId233" Type="http://schemas.openxmlformats.org/officeDocument/2006/relationships/hyperlink" Target="https://www.google.com/maps/search/?api=1&amp;query=26.1939051%2C91.7539467" TargetMode="External"/><Relationship Id="rId111" Type="http://schemas.openxmlformats.org/officeDocument/2006/relationships/hyperlink" Target="https://www.google.com/maps/search/?api=1&amp;query=26.1248431%2C91.8164863" TargetMode="External"/><Relationship Id="rId232" Type="http://schemas.openxmlformats.org/officeDocument/2006/relationships/hyperlink" Target="https://www.google.com/maps/search/?api=1&amp;query=26.19384%2C91.7536778" TargetMode="External"/><Relationship Id="rId206" Type="http://schemas.openxmlformats.org/officeDocument/2006/relationships/hyperlink" Target="https://www.google.com/maps/search/?api=1&amp;query=26.1663578%2C91.7681544" TargetMode="External"/><Relationship Id="rId205" Type="http://schemas.openxmlformats.org/officeDocument/2006/relationships/hyperlink" Target="https://www.google.com/maps/search/?api=1&amp;query=26.159997186465553%2C91.77347718560083" TargetMode="External"/><Relationship Id="rId204" Type="http://schemas.openxmlformats.org/officeDocument/2006/relationships/hyperlink" Target="https://www.google.com/maps/search/?api=1&amp;query=26.1415259%2C91.8115209" TargetMode="External"/><Relationship Id="rId203" Type="http://schemas.openxmlformats.org/officeDocument/2006/relationships/hyperlink" Target="https://www.google.com/maps/search/?api=1&amp;query=26.136546%2C91.8108761" TargetMode="External"/><Relationship Id="rId209" Type="http://schemas.openxmlformats.org/officeDocument/2006/relationships/hyperlink" Target="https://www.google.com/maps/search/?api=1&amp;query=26.1581685%2C91.7785256" TargetMode="External"/><Relationship Id="rId208" Type="http://schemas.openxmlformats.org/officeDocument/2006/relationships/hyperlink" Target="https://www.google.com/maps/search/?api=1&amp;query=26.1581039%2C91.7785435" TargetMode="External"/><Relationship Id="rId207" Type="http://schemas.openxmlformats.org/officeDocument/2006/relationships/hyperlink" Target="https://www.google.com/maps/search/?api=1&amp;query=26.16216216216216%2C91.76133253575402" TargetMode="External"/><Relationship Id="rId202" Type="http://schemas.openxmlformats.org/officeDocument/2006/relationships/hyperlink" Target="https://www.google.com/maps/search/?api=1&amp;query=26.1246628%2C91.8057514" TargetMode="External"/><Relationship Id="rId201" Type="http://schemas.openxmlformats.org/officeDocument/2006/relationships/hyperlink" Target="https://www.google.com/maps/search/?api=1&amp;query=26.1206029%2C91.7975939" TargetMode="External"/><Relationship Id="rId200" Type="http://schemas.openxmlformats.org/officeDocument/2006/relationships/hyperlink" Target="https://www.google.com/maps/search/?api=1&amp;query=26.1350292%2C91.8253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25"/>
    <col customWidth="1" min="3" max="5" width="18.88"/>
    <col customWidth="1" min="6" max="6" width="37.63"/>
    <col customWidth="1" min="7" max="7" width="28.5"/>
    <col customWidth="1" min="8" max="15" width="18.88"/>
    <col customWidth="1" min="16" max="16" width="24.75"/>
    <col customWidth="1" min="17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</row>
    <row r="2" ht="22.5" hidden="1" customHeight="1">
      <c r="A2" s="4"/>
      <c r="D2" s="5"/>
      <c r="H2" s="6" t="s">
        <v>18</v>
      </c>
      <c r="I2" s="6" t="s">
        <v>19</v>
      </c>
      <c r="J2" s="7"/>
      <c r="K2" s="7"/>
      <c r="L2" s="7"/>
      <c r="M2" s="7"/>
      <c r="N2" s="7"/>
      <c r="O2" s="7"/>
      <c r="P2" s="8"/>
      <c r="Q2" s="8" t="str">
        <f>IFERROR(VLOOKUP(#REF!,'Location Sheet'!C:G,4,FALSE),"")
</f>
        <v/>
      </c>
      <c r="R2" s="8" t="str">
        <f>IFERROR(VLOOKUP(#REF!,'LOCATION RESPONSES'!B:G,7,FALSE),"")
</f>
        <v/>
      </c>
    </row>
    <row r="3" ht="22.5" hidden="1" customHeight="1">
      <c r="A3" s="4">
        <v>46002.61052770833</v>
      </c>
      <c r="B3" s="6" t="s">
        <v>20</v>
      </c>
      <c r="C3" s="6">
        <v>8.82604999E9</v>
      </c>
      <c r="D3" s="5">
        <v>0.6145833333357587</v>
      </c>
      <c r="E3" s="9" t="s">
        <v>21</v>
      </c>
      <c r="F3" s="6" t="s">
        <v>22</v>
      </c>
      <c r="G3" s="6" t="s">
        <v>23</v>
      </c>
      <c r="H3" s="6" t="s">
        <v>18</v>
      </c>
      <c r="I3" s="6" t="s">
        <v>24</v>
      </c>
      <c r="J3" s="7"/>
      <c r="K3" s="7"/>
      <c r="L3" s="7"/>
      <c r="M3" s="7"/>
      <c r="N3" s="7"/>
      <c r="O3" s="7"/>
      <c r="P3" s="8"/>
      <c r="Q3" s="8"/>
      <c r="R3" s="8"/>
    </row>
    <row r="4" ht="22.5" hidden="1" customHeight="1">
      <c r="A4" s="4">
        <v>46002.62724003472</v>
      </c>
      <c r="B4" s="6" t="s">
        <v>25</v>
      </c>
      <c r="C4" s="6">
        <v>7.896424507E9</v>
      </c>
      <c r="D4" s="5">
        <v>0.6236111111065838</v>
      </c>
      <c r="E4" s="9" t="s">
        <v>26</v>
      </c>
      <c r="F4" s="6" t="s">
        <v>27</v>
      </c>
      <c r="G4" s="6" t="s">
        <v>28</v>
      </c>
      <c r="H4" s="6" t="s">
        <v>18</v>
      </c>
      <c r="I4" s="6" t="s">
        <v>24</v>
      </c>
      <c r="J4" s="7"/>
      <c r="K4" s="7"/>
      <c r="L4" s="7"/>
      <c r="M4" s="7"/>
      <c r="N4" s="7"/>
      <c r="O4" s="7"/>
      <c r="P4" s="8"/>
      <c r="Q4" s="8"/>
      <c r="R4" s="8"/>
    </row>
    <row r="5" ht="22.5" hidden="1" customHeight="1">
      <c r="A5" s="4"/>
      <c r="D5" s="5"/>
      <c r="P5" s="10"/>
      <c r="Q5" s="10"/>
      <c r="R5" s="10"/>
    </row>
    <row r="6" ht="22.5" hidden="1" customHeight="1">
      <c r="A6" s="4"/>
      <c r="D6" s="5"/>
      <c r="P6" s="10"/>
      <c r="Q6" s="10"/>
      <c r="R6" s="10"/>
    </row>
    <row r="7" ht="22.5" hidden="1" customHeight="1">
      <c r="A7" s="4">
        <v>46002.635391944445</v>
      </c>
      <c r="B7" s="6" t="s">
        <v>29</v>
      </c>
      <c r="C7" s="6">
        <v>8.472050051E9</v>
      </c>
      <c r="D7" s="5">
        <v>0.6236111111065838</v>
      </c>
      <c r="E7" s="9" t="s">
        <v>30</v>
      </c>
      <c r="F7" s="6" t="s">
        <v>22</v>
      </c>
      <c r="G7" s="6" t="s">
        <v>31</v>
      </c>
      <c r="H7" s="6" t="s">
        <v>18</v>
      </c>
      <c r="I7" s="6" t="s">
        <v>19</v>
      </c>
      <c r="J7" s="7"/>
      <c r="K7" s="7"/>
      <c r="L7" s="7"/>
      <c r="M7" s="7"/>
      <c r="N7" s="7"/>
      <c r="O7" s="7"/>
      <c r="P7" s="8"/>
      <c r="Q7" s="8"/>
      <c r="R7" s="8"/>
    </row>
    <row r="8" ht="22.5" hidden="1" customHeight="1">
      <c r="A8" s="4">
        <v>46002.63786105324</v>
      </c>
      <c r="B8" s="6" t="s">
        <v>32</v>
      </c>
      <c r="C8" s="6">
        <v>6.00219504E9</v>
      </c>
      <c r="D8" s="5">
        <v>0.6361111111109494</v>
      </c>
      <c r="E8" s="9" t="s">
        <v>33</v>
      </c>
      <c r="F8" s="6" t="s">
        <v>22</v>
      </c>
      <c r="G8" s="6" t="s">
        <v>34</v>
      </c>
      <c r="H8" s="6" t="s">
        <v>18</v>
      </c>
      <c r="I8" s="6" t="s">
        <v>24</v>
      </c>
      <c r="J8" s="7"/>
      <c r="K8" s="7"/>
      <c r="L8" s="7"/>
      <c r="M8" s="7"/>
      <c r="N8" s="7"/>
      <c r="O8" s="7"/>
      <c r="P8" s="8"/>
      <c r="Q8" s="8"/>
      <c r="R8" s="8"/>
    </row>
    <row r="9" ht="22.5" hidden="1" customHeight="1">
      <c r="A9" s="4">
        <v>46002.637883668984</v>
      </c>
      <c r="B9" s="6" t="s">
        <v>35</v>
      </c>
      <c r="C9" s="6">
        <v>9.954746951E9</v>
      </c>
      <c r="D9" s="5">
        <v>0.13611111111094942</v>
      </c>
      <c r="E9" s="9" t="s">
        <v>36</v>
      </c>
      <c r="F9" s="6" t="s">
        <v>22</v>
      </c>
      <c r="G9" s="6" t="s">
        <v>37</v>
      </c>
      <c r="H9" s="6" t="s">
        <v>18</v>
      </c>
      <c r="I9" s="6" t="s">
        <v>19</v>
      </c>
      <c r="J9" s="7"/>
      <c r="K9" s="7"/>
      <c r="L9" s="7"/>
      <c r="M9" s="7"/>
      <c r="N9" s="7"/>
      <c r="O9" s="7"/>
      <c r="P9" s="8"/>
      <c r="Q9" s="8"/>
      <c r="R9" s="8"/>
    </row>
    <row r="10" ht="22.5" hidden="1" customHeight="1">
      <c r="A10" s="4">
        <v>46002.64399030093</v>
      </c>
      <c r="B10" s="6" t="s">
        <v>38</v>
      </c>
      <c r="C10" s="6">
        <v>6.003795097E9</v>
      </c>
      <c r="D10" s="5">
        <v>0.6430555555562023</v>
      </c>
      <c r="E10" s="9" t="s">
        <v>39</v>
      </c>
      <c r="F10" s="6" t="s">
        <v>22</v>
      </c>
      <c r="G10" s="6" t="s">
        <v>40</v>
      </c>
      <c r="H10" s="6" t="s">
        <v>18</v>
      </c>
      <c r="I10" s="6" t="s">
        <v>24</v>
      </c>
      <c r="J10" s="7"/>
      <c r="K10" s="7"/>
      <c r="L10" s="7"/>
      <c r="M10" s="7"/>
      <c r="N10" s="7"/>
      <c r="O10" s="7"/>
      <c r="P10" s="8"/>
      <c r="Q10" s="8"/>
      <c r="R10" s="8"/>
    </row>
    <row r="11" ht="22.5" hidden="1" customHeight="1">
      <c r="A11" s="4">
        <v>46002.64838234954</v>
      </c>
      <c r="B11" s="6" t="s">
        <v>41</v>
      </c>
      <c r="C11" s="6">
        <v>9.619320927E9</v>
      </c>
      <c r="D11" s="5">
        <v>0.14583333333575865</v>
      </c>
      <c r="E11" s="9" t="s">
        <v>42</v>
      </c>
      <c r="F11" s="6" t="s">
        <v>43</v>
      </c>
      <c r="G11" s="6" t="s">
        <v>44</v>
      </c>
      <c r="H11" s="6" t="s">
        <v>18</v>
      </c>
      <c r="I11" s="6" t="s">
        <v>19</v>
      </c>
      <c r="J11" s="7"/>
      <c r="K11" s="7"/>
      <c r="L11" s="7"/>
      <c r="M11" s="7"/>
      <c r="N11" s="7"/>
      <c r="O11" s="7"/>
      <c r="P11" s="8"/>
      <c r="Q11" s="8"/>
      <c r="R11" s="8"/>
    </row>
    <row r="12" ht="22.5" hidden="1" customHeight="1">
      <c r="A12" s="4">
        <v>46002.66112065972</v>
      </c>
      <c r="B12" s="6" t="s">
        <v>45</v>
      </c>
      <c r="C12" s="6">
        <v>9.706221712E9</v>
      </c>
      <c r="D12" s="5">
        <v>0.6597222222189885</v>
      </c>
      <c r="E12" s="9" t="s">
        <v>46</v>
      </c>
      <c r="F12" s="6" t="s">
        <v>22</v>
      </c>
      <c r="G12" s="6" t="s">
        <v>40</v>
      </c>
      <c r="H12" s="6" t="s">
        <v>18</v>
      </c>
      <c r="I12" s="6" t="s">
        <v>24</v>
      </c>
      <c r="J12" s="7"/>
      <c r="K12" s="7"/>
      <c r="L12" s="7"/>
      <c r="M12" s="7"/>
      <c r="N12" s="7"/>
      <c r="O12" s="7"/>
      <c r="P12" s="8"/>
      <c r="Q12" s="8"/>
      <c r="R12" s="8"/>
    </row>
    <row r="13" ht="22.5" hidden="1" customHeight="1">
      <c r="A13" s="4">
        <v>46002.67121222222</v>
      </c>
      <c r="B13" s="6" t="s">
        <v>47</v>
      </c>
      <c r="C13" s="6">
        <v>9.70250677E9</v>
      </c>
      <c r="D13" s="5">
        <v>0.6666666666642413</v>
      </c>
      <c r="E13" s="9" t="s">
        <v>48</v>
      </c>
      <c r="F13" s="6" t="s">
        <v>43</v>
      </c>
      <c r="H13" s="6" t="s">
        <v>18</v>
      </c>
      <c r="I13" s="6" t="s">
        <v>19</v>
      </c>
      <c r="J13" s="7"/>
      <c r="K13" s="7"/>
      <c r="L13" s="7"/>
      <c r="M13" s="7"/>
      <c r="N13" s="7"/>
      <c r="O13" s="7"/>
      <c r="P13" s="8"/>
      <c r="Q13" s="8"/>
      <c r="R13" s="8"/>
    </row>
    <row r="14" ht="22.5" hidden="1" customHeight="1">
      <c r="A14" s="4">
        <v>46002.69782855324</v>
      </c>
      <c r="B14" s="6" t="s">
        <v>49</v>
      </c>
      <c r="C14" s="6">
        <v>9.859578173E9</v>
      </c>
      <c r="D14" s="5">
        <v>0.6826388888875954</v>
      </c>
      <c r="E14" s="9" t="s">
        <v>50</v>
      </c>
      <c r="F14" s="6" t="s">
        <v>51</v>
      </c>
      <c r="G14" s="6" t="s">
        <v>52</v>
      </c>
      <c r="H14" s="6" t="s">
        <v>18</v>
      </c>
      <c r="I14" s="6" t="s">
        <v>19</v>
      </c>
      <c r="J14" s="7"/>
      <c r="K14" s="7"/>
      <c r="L14" s="7"/>
      <c r="M14" s="7"/>
      <c r="N14" s="7"/>
      <c r="O14" s="7"/>
      <c r="P14" s="8"/>
      <c r="Q14" s="8"/>
      <c r="R14" s="8"/>
    </row>
    <row r="15" ht="22.5" hidden="1" customHeight="1">
      <c r="A15" s="4">
        <v>46002.70046739583</v>
      </c>
      <c r="B15" s="6" t="s">
        <v>53</v>
      </c>
      <c r="C15" s="6">
        <v>8.43896453E8</v>
      </c>
      <c r="D15" s="5">
        <v>0.6986111111109494</v>
      </c>
      <c r="E15" s="9" t="s">
        <v>54</v>
      </c>
      <c r="F15" s="6" t="s">
        <v>55</v>
      </c>
      <c r="G15" s="6" t="s">
        <v>31</v>
      </c>
      <c r="H15" s="6" t="s">
        <v>18</v>
      </c>
      <c r="I15" s="6" t="s">
        <v>19</v>
      </c>
      <c r="J15" s="7"/>
      <c r="K15" s="7"/>
      <c r="L15" s="7"/>
      <c r="M15" s="7"/>
      <c r="N15" s="7"/>
      <c r="O15" s="7"/>
      <c r="P15" s="8"/>
      <c r="Q15" s="8"/>
      <c r="R15" s="8"/>
    </row>
    <row r="16" ht="22.5" hidden="1" customHeight="1">
      <c r="A16" s="4">
        <v>46002.703034363425</v>
      </c>
      <c r="B16" s="6" t="s">
        <v>56</v>
      </c>
      <c r="C16" s="6">
        <v>9.365423205E9</v>
      </c>
      <c r="D16" s="5">
        <v>0.7013888888905058</v>
      </c>
      <c r="E16" s="9" t="s">
        <v>57</v>
      </c>
      <c r="F16" s="6" t="s">
        <v>22</v>
      </c>
      <c r="G16" s="6" t="s">
        <v>58</v>
      </c>
      <c r="H16" s="6" t="s">
        <v>18</v>
      </c>
      <c r="I16" s="6" t="s">
        <v>24</v>
      </c>
      <c r="J16" s="7"/>
      <c r="K16" s="7"/>
      <c r="L16" s="7"/>
      <c r="M16" s="7"/>
      <c r="N16" s="7"/>
      <c r="O16" s="7"/>
      <c r="P16" s="8"/>
      <c r="Q16" s="8"/>
      <c r="R16" s="8"/>
    </row>
    <row r="17" ht="22.5" hidden="1" customHeight="1">
      <c r="A17" s="4">
        <v>46002.70392755787</v>
      </c>
      <c r="B17" s="6" t="s">
        <v>59</v>
      </c>
      <c r="C17" s="6">
        <v>6.003885766E9</v>
      </c>
      <c r="D17" s="5">
        <v>0.20277777777664596</v>
      </c>
      <c r="E17" s="9" t="s">
        <v>60</v>
      </c>
      <c r="F17" s="6" t="s">
        <v>61</v>
      </c>
      <c r="G17" s="6" t="s">
        <v>62</v>
      </c>
      <c r="H17" s="6" t="s">
        <v>18</v>
      </c>
      <c r="I17" s="6" t="s">
        <v>19</v>
      </c>
      <c r="J17" s="7"/>
      <c r="K17" s="7"/>
      <c r="L17" s="7"/>
      <c r="M17" s="7"/>
      <c r="N17" s="7"/>
      <c r="O17" s="7"/>
      <c r="P17" s="8"/>
      <c r="Q17" s="8"/>
      <c r="R17" s="8"/>
    </row>
    <row r="18" ht="22.5" hidden="1" customHeight="1">
      <c r="A18" s="4">
        <v>46002.711374652776</v>
      </c>
      <c r="B18" s="6" t="s">
        <v>63</v>
      </c>
      <c r="C18" s="6">
        <v>9.435116686E9</v>
      </c>
      <c r="D18" s="5">
        <v>0.711111111115315</v>
      </c>
      <c r="E18" s="9" t="s">
        <v>64</v>
      </c>
      <c r="F18" s="6" t="s">
        <v>22</v>
      </c>
      <c r="G18" s="6" t="s">
        <v>65</v>
      </c>
      <c r="H18" s="6" t="s">
        <v>18</v>
      </c>
      <c r="I18" s="6" t="s">
        <v>24</v>
      </c>
      <c r="J18" s="7"/>
      <c r="K18" s="7"/>
      <c r="L18" s="7"/>
      <c r="M18" s="7"/>
      <c r="N18" s="7"/>
      <c r="O18" s="7"/>
      <c r="P18" s="8"/>
      <c r="Q18" s="8"/>
      <c r="R18" s="8"/>
    </row>
    <row r="19" ht="22.5" hidden="1" customHeight="1">
      <c r="A19" s="4">
        <v>46002.76147864583</v>
      </c>
      <c r="B19" s="6" t="s">
        <v>66</v>
      </c>
      <c r="C19" s="6">
        <v>9.435400105E9</v>
      </c>
      <c r="D19" s="5">
        <v>0.7534722222189885</v>
      </c>
      <c r="E19" s="9" t="s">
        <v>67</v>
      </c>
      <c r="F19" s="6" t="s">
        <v>43</v>
      </c>
      <c r="H19" s="6" t="s">
        <v>18</v>
      </c>
      <c r="I19" s="6" t="s">
        <v>19</v>
      </c>
      <c r="J19" s="6" t="s">
        <v>68</v>
      </c>
      <c r="K19" s="7"/>
      <c r="L19" s="7"/>
      <c r="M19" s="7"/>
      <c r="N19" s="7"/>
      <c r="O19" s="7"/>
      <c r="P19" s="8"/>
      <c r="Q19" s="8"/>
      <c r="R19" s="8"/>
    </row>
    <row r="20" ht="22.5" hidden="1" customHeight="1">
      <c r="A20" s="4">
        <v>46002.76982969907</v>
      </c>
      <c r="B20" s="6" t="s">
        <v>69</v>
      </c>
      <c r="C20" s="6">
        <v>7.3708486E8</v>
      </c>
      <c r="D20" s="5">
        <v>0.7673611111094942</v>
      </c>
      <c r="E20" s="9" t="s">
        <v>70</v>
      </c>
      <c r="F20" s="6" t="s">
        <v>51</v>
      </c>
      <c r="H20" s="6" t="s">
        <v>18</v>
      </c>
      <c r="I20" s="6" t="s">
        <v>19</v>
      </c>
      <c r="J20" s="6" t="s">
        <v>68</v>
      </c>
      <c r="K20" s="7"/>
      <c r="L20" s="7"/>
      <c r="M20" s="7"/>
      <c r="N20" s="7"/>
      <c r="O20" s="7"/>
      <c r="P20" s="8"/>
      <c r="Q20" s="8"/>
      <c r="R20" s="8"/>
    </row>
    <row r="21" ht="22.5" hidden="1" customHeight="1">
      <c r="A21" s="4">
        <v>46002.782263692134</v>
      </c>
      <c r="B21" s="6" t="s">
        <v>71</v>
      </c>
      <c r="C21" s="6">
        <v>9.903935859E9</v>
      </c>
      <c r="D21" s="5">
        <v>0.7805555555532919</v>
      </c>
      <c r="E21" s="9" t="s">
        <v>72</v>
      </c>
      <c r="F21" s="6" t="s">
        <v>43</v>
      </c>
      <c r="G21" s="6" t="s">
        <v>73</v>
      </c>
      <c r="H21" s="6" t="s">
        <v>18</v>
      </c>
      <c r="I21" s="6" t="s">
        <v>19</v>
      </c>
      <c r="J21" s="6" t="s">
        <v>68</v>
      </c>
      <c r="K21" s="7"/>
      <c r="L21" s="7"/>
      <c r="M21" s="7"/>
      <c r="N21" s="7"/>
      <c r="O21" s="7"/>
      <c r="P21" s="8"/>
      <c r="Q21" s="8"/>
      <c r="R21" s="8"/>
    </row>
    <row r="22" ht="22.5" customHeight="1">
      <c r="A22" s="4">
        <v>46003.57408984954</v>
      </c>
      <c r="B22" s="6" t="s">
        <v>74</v>
      </c>
      <c r="C22" s="6" t="s">
        <v>75</v>
      </c>
      <c r="E22" s="9" t="s">
        <v>76</v>
      </c>
      <c r="F22" s="6" t="s">
        <v>77</v>
      </c>
      <c r="G22" s="6" t="s">
        <v>78</v>
      </c>
      <c r="H22" s="6" t="s">
        <v>18</v>
      </c>
      <c r="I22" s="6" t="s">
        <v>24</v>
      </c>
      <c r="J22" s="6" t="s">
        <v>79</v>
      </c>
      <c r="K22" s="6" t="s">
        <v>80</v>
      </c>
      <c r="L22" s="6" t="s">
        <v>81</v>
      </c>
      <c r="M22" s="7"/>
      <c r="N22" s="7"/>
      <c r="P22" s="10"/>
      <c r="Q22" s="10">
        <f>COUNTIF('LOCATION RESPONSES'!B:B,B2)
</f>
        <v>0</v>
      </c>
      <c r="R22" s="10">
        <f>COUNTIF('LOCATION RESPONSES'!B:B,B2)
</f>
        <v>0</v>
      </c>
    </row>
    <row r="23" ht="22.5" customHeight="1">
      <c r="A23" s="4">
        <v>46003.59725266203</v>
      </c>
      <c r="B23" s="6" t="s">
        <v>82</v>
      </c>
      <c r="C23" s="6">
        <v>7.638039088E9</v>
      </c>
      <c r="E23" s="9" t="s">
        <v>83</v>
      </c>
      <c r="F23" s="6" t="s">
        <v>22</v>
      </c>
      <c r="G23" s="6" t="s">
        <v>28</v>
      </c>
      <c r="H23" s="6" t="s">
        <v>18</v>
      </c>
      <c r="I23" s="6" t="s">
        <v>24</v>
      </c>
      <c r="J23" s="6" t="s">
        <v>79</v>
      </c>
      <c r="K23" s="6" t="s">
        <v>84</v>
      </c>
      <c r="L23" s="6" t="s">
        <v>85</v>
      </c>
      <c r="M23" s="7"/>
      <c r="N23" s="7"/>
      <c r="P23" s="10"/>
      <c r="Q23" s="10">
        <f>COUNTIF('LOCATION RESPONSES'!B:B,B3)
</f>
        <v>0</v>
      </c>
      <c r="R23" s="10">
        <f>COUNTIF('LOCATION RESPONSES'!B:B,B3)
</f>
        <v>0</v>
      </c>
    </row>
    <row r="24" ht="22.5" customHeight="1">
      <c r="A24" s="4">
        <v>46003.607311562504</v>
      </c>
      <c r="B24" s="6" t="s">
        <v>86</v>
      </c>
      <c r="C24" s="6">
        <v>9.706076848E9</v>
      </c>
      <c r="E24" s="9" t="s">
        <v>87</v>
      </c>
      <c r="F24" s="6" t="s">
        <v>22</v>
      </c>
      <c r="G24" s="6" t="s">
        <v>88</v>
      </c>
      <c r="H24" s="6" t="s">
        <v>18</v>
      </c>
      <c r="I24" s="6" t="s">
        <v>24</v>
      </c>
      <c r="J24" s="6" t="s">
        <v>79</v>
      </c>
      <c r="K24" s="6" t="s">
        <v>89</v>
      </c>
      <c r="L24" s="6" t="s">
        <v>85</v>
      </c>
      <c r="M24" s="7"/>
      <c r="N24" s="7"/>
      <c r="P24" s="10"/>
      <c r="Q24" s="10">
        <f>COUNTIF('LOCATION RESPONSES'!B:B,B4)
</f>
        <v>0</v>
      </c>
      <c r="R24" s="10">
        <f>COUNTIF('LOCATION RESPONSES'!B:B,B4)
</f>
        <v>0</v>
      </c>
    </row>
    <row r="25" ht="22.5" customHeight="1">
      <c r="A25" s="4">
        <v>46003.61919388889</v>
      </c>
      <c r="B25" s="6" t="s">
        <v>90</v>
      </c>
      <c r="C25" s="6">
        <v>7.099073999E9</v>
      </c>
      <c r="E25" s="9" t="s">
        <v>91</v>
      </c>
      <c r="F25" s="6" t="s">
        <v>22</v>
      </c>
      <c r="G25" s="6" t="s">
        <v>88</v>
      </c>
      <c r="H25" s="6" t="s">
        <v>18</v>
      </c>
      <c r="I25" s="6" t="s">
        <v>24</v>
      </c>
      <c r="J25" s="6" t="s">
        <v>79</v>
      </c>
      <c r="K25" s="6" t="s">
        <v>92</v>
      </c>
      <c r="L25" s="6" t="s">
        <v>85</v>
      </c>
      <c r="M25" s="7"/>
      <c r="N25" s="7"/>
      <c r="P25" s="10"/>
      <c r="Q25" s="10">
        <f>COUNTIF('LOCATION RESPONSES'!B:B,B5)
</f>
        <v>0</v>
      </c>
      <c r="R25" s="10">
        <f>COUNTIF('LOCATION RESPONSES'!B:B,B5)
</f>
        <v>0</v>
      </c>
    </row>
    <row r="26" ht="22.5" customHeight="1">
      <c r="A26" s="4">
        <v>46003.6472709375</v>
      </c>
      <c r="B26" s="6" t="s">
        <v>93</v>
      </c>
      <c r="C26" s="6">
        <v>7.002708344E9</v>
      </c>
      <c r="E26" s="9" t="s">
        <v>94</v>
      </c>
      <c r="F26" s="6" t="s">
        <v>77</v>
      </c>
      <c r="G26" s="6" t="s">
        <v>88</v>
      </c>
      <c r="H26" s="6" t="s">
        <v>18</v>
      </c>
      <c r="I26" s="6" t="s">
        <v>24</v>
      </c>
      <c r="J26" s="6" t="s">
        <v>79</v>
      </c>
      <c r="K26" s="6" t="s">
        <v>95</v>
      </c>
      <c r="P26" s="10"/>
      <c r="Q26" s="10">
        <f>COUNTIF('LOCATION RESPONSES'!B:B,B6)
</f>
        <v>0</v>
      </c>
      <c r="R26" s="10">
        <f>COUNTIF('LOCATION RESPONSES'!B:B,B6)
</f>
        <v>0</v>
      </c>
    </row>
    <row r="27" ht="22.5" customHeight="1">
      <c r="A27" s="4">
        <v>46003.67064015046</v>
      </c>
      <c r="B27" s="6" t="s">
        <v>96</v>
      </c>
      <c r="C27" s="6">
        <v>8.638376372E9</v>
      </c>
      <c r="E27" s="9" t="s">
        <v>97</v>
      </c>
      <c r="F27" s="6" t="s">
        <v>22</v>
      </c>
      <c r="G27" s="6" t="s">
        <v>88</v>
      </c>
      <c r="H27" s="6" t="s">
        <v>18</v>
      </c>
      <c r="I27" s="6" t="s">
        <v>24</v>
      </c>
      <c r="J27" s="6" t="s">
        <v>79</v>
      </c>
      <c r="K27" s="6" t="s">
        <v>98</v>
      </c>
      <c r="L27" s="6" t="s">
        <v>85</v>
      </c>
      <c r="M27" s="7"/>
      <c r="N27" s="7"/>
      <c r="P27" s="10"/>
      <c r="Q27" s="10">
        <f>COUNTIF('LOCATION RESPONSES'!B:B,B7)
</f>
        <v>0</v>
      </c>
      <c r="R27" s="10">
        <f>COUNTIF('LOCATION RESPONSES'!B:B,B7)
</f>
        <v>0</v>
      </c>
    </row>
    <row r="28" ht="22.5" customHeight="1">
      <c r="A28" s="4">
        <v>46003.681888506944</v>
      </c>
      <c r="B28" s="6" t="s">
        <v>99</v>
      </c>
      <c r="C28" s="6">
        <v>6.000392311E9</v>
      </c>
      <c r="E28" s="9" t="s">
        <v>100</v>
      </c>
      <c r="F28" s="6" t="s">
        <v>77</v>
      </c>
      <c r="G28" s="6" t="s">
        <v>88</v>
      </c>
      <c r="H28" s="6" t="s">
        <v>18</v>
      </c>
      <c r="I28" s="6" t="s">
        <v>24</v>
      </c>
      <c r="J28" s="6" t="s">
        <v>79</v>
      </c>
      <c r="K28" s="6" t="s">
        <v>101</v>
      </c>
      <c r="L28" s="6" t="s">
        <v>102</v>
      </c>
      <c r="M28" s="7"/>
      <c r="N28" s="7"/>
      <c r="P28" s="10"/>
      <c r="Q28" s="10">
        <f>COUNTIF('LOCATION RESPONSES'!B:B,B8)
</f>
        <v>0</v>
      </c>
      <c r="R28" s="10">
        <f>COUNTIF('LOCATION RESPONSES'!B:B,B8)
</f>
        <v>0</v>
      </c>
    </row>
    <row r="29" ht="22.5" customHeight="1">
      <c r="A29" s="4">
        <v>46003.69570957176</v>
      </c>
      <c r="B29" s="6" t="s">
        <v>103</v>
      </c>
      <c r="C29" s="6">
        <v>8.47395657E8</v>
      </c>
      <c r="E29" s="9" t="s">
        <v>104</v>
      </c>
      <c r="F29" s="6" t="s">
        <v>22</v>
      </c>
      <c r="G29" s="6" t="s">
        <v>88</v>
      </c>
      <c r="H29" s="6" t="s">
        <v>18</v>
      </c>
      <c r="I29" s="6" t="s">
        <v>24</v>
      </c>
      <c r="J29" s="6" t="s">
        <v>79</v>
      </c>
      <c r="K29" s="6" t="s">
        <v>105</v>
      </c>
      <c r="L29" s="6" t="s">
        <v>85</v>
      </c>
      <c r="M29" s="7"/>
      <c r="N29" s="7"/>
      <c r="P29" s="10"/>
      <c r="Q29" s="10">
        <f>IFERROR(VLOOKUP(B9,'LOCATION RESPONSES'!B:G,6,FALSE),"")
</f>
        <v>91.7834907</v>
      </c>
      <c r="R29" s="10">
        <f>COUNTIF('LOCATION RESPONSES'!B:B,B9)
</f>
        <v>1</v>
      </c>
    </row>
    <row r="30" ht="22.5" customHeight="1">
      <c r="A30" s="4">
        <v>46003.70479928241</v>
      </c>
      <c r="B30" s="6" t="s">
        <v>106</v>
      </c>
      <c r="C30" s="6">
        <v>9.864273182E9</v>
      </c>
      <c r="E30" s="9" t="s">
        <v>107</v>
      </c>
      <c r="F30" s="6" t="s">
        <v>77</v>
      </c>
      <c r="G30" s="6" t="s">
        <v>88</v>
      </c>
      <c r="H30" s="6" t="s">
        <v>18</v>
      </c>
      <c r="I30" s="6" t="s">
        <v>24</v>
      </c>
      <c r="J30" s="6" t="s">
        <v>79</v>
      </c>
      <c r="K30" s="6" t="s">
        <v>40</v>
      </c>
      <c r="L30" s="6" t="s">
        <v>102</v>
      </c>
      <c r="M30" s="7"/>
      <c r="N30" s="7"/>
      <c r="P30" s="10"/>
      <c r="Q30" s="10">
        <f>COUNTIF('LOCATION RESPONSES'!B:B,B8)
</f>
        <v>0</v>
      </c>
      <c r="R30" s="10">
        <f>COUNTIF('LOCATION RESPONSES'!B:B,B10)
</f>
        <v>0</v>
      </c>
    </row>
    <row r="31" ht="22.5" customHeight="1">
      <c r="A31" s="4">
        <v>46003.71506858796</v>
      </c>
      <c r="B31" s="6" t="s">
        <v>108</v>
      </c>
      <c r="C31" s="6">
        <v>6.901422045E9</v>
      </c>
      <c r="E31" s="9" t="s">
        <v>109</v>
      </c>
      <c r="F31" s="6" t="s">
        <v>22</v>
      </c>
      <c r="G31" s="6" t="s">
        <v>88</v>
      </c>
      <c r="H31" s="6" t="s">
        <v>18</v>
      </c>
      <c r="I31" s="6" t="s">
        <v>24</v>
      </c>
      <c r="J31" s="6" t="s">
        <v>79</v>
      </c>
      <c r="K31" s="6" t="s">
        <v>110</v>
      </c>
      <c r="L31" s="6" t="s">
        <v>85</v>
      </c>
      <c r="M31" s="7"/>
      <c r="N31" s="7"/>
      <c r="P31" s="10"/>
      <c r="Q31" s="10">
        <f>COUNTIF('LOCATION RESPONSES'!B:B,B9)
</f>
        <v>1</v>
      </c>
      <c r="R31" s="10">
        <f>COUNTIF('LOCATION RESPONSES'!B:B,B11)
</f>
        <v>0</v>
      </c>
    </row>
    <row r="32" ht="22.5" customHeight="1">
      <c r="A32" s="4">
        <v>46004.54103168982</v>
      </c>
      <c r="B32" s="6" t="s">
        <v>111</v>
      </c>
      <c r="C32" s="6">
        <v>7.099574158E9</v>
      </c>
      <c r="E32" s="9" t="s">
        <v>112</v>
      </c>
      <c r="F32" s="6" t="s">
        <v>51</v>
      </c>
      <c r="G32" s="6" t="s">
        <v>88</v>
      </c>
      <c r="H32" s="6" t="s">
        <v>18</v>
      </c>
      <c r="I32" s="6" t="s">
        <v>24</v>
      </c>
      <c r="J32" s="6" t="s">
        <v>79</v>
      </c>
      <c r="K32" s="6" t="s">
        <v>40</v>
      </c>
      <c r="L32" s="6" t="s">
        <v>85</v>
      </c>
      <c r="M32" s="7"/>
      <c r="N32" s="7"/>
      <c r="P32" s="10"/>
      <c r="Q32" s="10">
        <f>COUNTIF('LOCATION RESPONSES'!B:B,B10)
</f>
        <v>0</v>
      </c>
      <c r="R32" s="10">
        <f>COUNTIF('LOCATION RESPONSES'!B:B,B12)
</f>
        <v>0</v>
      </c>
    </row>
    <row r="33" ht="22.5" customHeight="1">
      <c r="A33" s="4">
        <v>46004.54936380787</v>
      </c>
      <c r="B33" s="6" t="s">
        <v>113</v>
      </c>
      <c r="C33" s="6">
        <v>7.002796908E9</v>
      </c>
      <c r="E33" s="9" t="s">
        <v>114</v>
      </c>
      <c r="F33" s="6" t="s">
        <v>77</v>
      </c>
      <c r="G33" s="6" t="s">
        <v>88</v>
      </c>
      <c r="H33" s="6" t="s">
        <v>18</v>
      </c>
      <c r="I33" s="6" t="s">
        <v>24</v>
      </c>
      <c r="J33" s="6" t="s">
        <v>79</v>
      </c>
      <c r="K33" s="6" t="s">
        <v>115</v>
      </c>
      <c r="L33" s="6" t="s">
        <v>81</v>
      </c>
      <c r="M33" s="7"/>
      <c r="N33" s="7"/>
      <c r="P33" s="10"/>
      <c r="Q33" s="10">
        <f>COUNTIF('LOCATION RESPONSES'!B:B,B11)
</f>
        <v>0</v>
      </c>
      <c r="R33" s="10">
        <f>COUNTIF('LOCATION RESPONSES'!B:B,B13)
</f>
        <v>0</v>
      </c>
    </row>
    <row r="34" ht="22.5" customHeight="1">
      <c r="A34" s="4">
        <v>46004.557353449076</v>
      </c>
      <c r="B34" s="6" t="s">
        <v>116</v>
      </c>
      <c r="C34" s="6">
        <v>9.678140533E9</v>
      </c>
      <c r="E34" s="9" t="s">
        <v>117</v>
      </c>
      <c r="F34" s="6" t="s">
        <v>22</v>
      </c>
      <c r="H34" s="6" t="s">
        <v>18</v>
      </c>
      <c r="I34" s="6" t="s">
        <v>24</v>
      </c>
      <c r="J34" s="6" t="s">
        <v>79</v>
      </c>
      <c r="K34" s="6" t="s">
        <v>118</v>
      </c>
      <c r="L34" s="6" t="s">
        <v>85</v>
      </c>
      <c r="M34" s="7"/>
      <c r="N34" s="7"/>
      <c r="P34" s="10"/>
      <c r="Q34" s="10">
        <f>COUNTIF('LOCATION RESPONSES'!B:B,B12)
</f>
        <v>0</v>
      </c>
      <c r="R34" s="10">
        <f>COUNTIF('LOCATION RESPONSES'!B:B,B14)
</f>
        <v>0</v>
      </c>
    </row>
    <row r="35" ht="22.5" customHeight="1">
      <c r="A35" s="4">
        <v>46004.56981785879</v>
      </c>
      <c r="B35" s="6" t="s">
        <v>119</v>
      </c>
      <c r="C35" s="6">
        <v>8.133950037E9</v>
      </c>
      <c r="E35" s="9" t="s">
        <v>120</v>
      </c>
      <c r="F35" s="6" t="s">
        <v>22</v>
      </c>
      <c r="G35" s="6" t="s">
        <v>88</v>
      </c>
      <c r="H35" s="6" t="s">
        <v>18</v>
      </c>
      <c r="I35" s="6" t="s">
        <v>24</v>
      </c>
      <c r="J35" s="6" t="s">
        <v>79</v>
      </c>
      <c r="K35" s="6" t="s">
        <v>121</v>
      </c>
      <c r="L35" s="6" t="s">
        <v>85</v>
      </c>
      <c r="M35" s="7"/>
      <c r="N35" s="7"/>
      <c r="P35" s="10"/>
      <c r="Q35" s="10">
        <f>COUNTIF('LOCATION RESPONSES'!B:B,B13)
</f>
        <v>0</v>
      </c>
      <c r="R35" s="10">
        <f>COUNTIF('LOCATION RESPONSES'!B:B,B15)
</f>
        <v>0</v>
      </c>
    </row>
    <row r="36" ht="22.5" customHeight="1">
      <c r="A36" s="4">
        <v>46004.5722852662</v>
      </c>
      <c r="B36" s="6" t="s">
        <v>122</v>
      </c>
      <c r="C36" s="6">
        <v>6.003769243E9</v>
      </c>
      <c r="E36" s="9" t="s">
        <v>123</v>
      </c>
      <c r="F36" s="6" t="s">
        <v>22</v>
      </c>
      <c r="G36" s="6" t="s">
        <v>88</v>
      </c>
      <c r="H36" s="6" t="s">
        <v>18</v>
      </c>
      <c r="I36" s="6" t="s">
        <v>24</v>
      </c>
      <c r="J36" s="6" t="s">
        <v>79</v>
      </c>
      <c r="K36" s="6" t="s">
        <v>124</v>
      </c>
      <c r="L36" s="6" t="s">
        <v>85</v>
      </c>
      <c r="M36" s="7"/>
      <c r="N36" s="7"/>
      <c r="P36" s="10"/>
      <c r="Q36" s="10">
        <f>COUNTIF('LOCATION RESPONSES'!B:B,B14)
</f>
        <v>0</v>
      </c>
      <c r="R36" s="10">
        <f>COUNTIF('LOCATION RESPONSES'!B:B,B16)
</f>
        <v>0</v>
      </c>
    </row>
    <row r="37" ht="22.5" customHeight="1">
      <c r="A37" s="4">
        <v>46004.58866170139</v>
      </c>
      <c r="B37" s="6" t="s">
        <v>125</v>
      </c>
      <c r="C37" s="6">
        <v>8.011708006E9</v>
      </c>
      <c r="E37" s="9" t="s">
        <v>126</v>
      </c>
      <c r="F37" s="6" t="s">
        <v>22</v>
      </c>
      <c r="G37" s="6" t="s">
        <v>88</v>
      </c>
      <c r="H37" s="6" t="s">
        <v>18</v>
      </c>
      <c r="I37" s="6" t="s">
        <v>24</v>
      </c>
      <c r="J37" s="6" t="s">
        <v>79</v>
      </c>
      <c r="K37" s="6" t="s">
        <v>127</v>
      </c>
      <c r="L37" s="6" t="s">
        <v>85</v>
      </c>
      <c r="M37" s="7"/>
      <c r="N37" s="7"/>
      <c r="P37" s="10"/>
      <c r="Q37" s="10">
        <f>COUNTIF('LOCATION RESPONSES'!B:B,B15)
</f>
        <v>0</v>
      </c>
      <c r="R37" s="10">
        <f>COUNTIF('LOCATION RESPONSES'!B:B,B17)
</f>
        <v>0</v>
      </c>
    </row>
    <row r="38" ht="22.5" customHeight="1">
      <c r="A38" s="4">
        <v>46004.59368494213</v>
      </c>
      <c r="B38" s="6" t="s">
        <v>128</v>
      </c>
      <c r="C38" s="6">
        <v>9.957720094E9</v>
      </c>
      <c r="E38" s="9" t="s">
        <v>129</v>
      </c>
      <c r="F38" s="6" t="s">
        <v>77</v>
      </c>
      <c r="G38" s="6" t="s">
        <v>88</v>
      </c>
      <c r="H38" s="6" t="s">
        <v>18</v>
      </c>
      <c r="I38" s="6" t="s">
        <v>24</v>
      </c>
      <c r="J38" s="6" t="s">
        <v>79</v>
      </c>
      <c r="K38" s="6" t="s">
        <v>40</v>
      </c>
      <c r="L38" s="6" t="s">
        <v>102</v>
      </c>
      <c r="M38" s="7"/>
      <c r="N38" s="7"/>
      <c r="P38" s="10"/>
      <c r="Q38" s="10">
        <f>COUNTIF('LOCATION RESPONSES'!B:B,B16)
</f>
        <v>0</v>
      </c>
      <c r="R38" s="10">
        <f>COUNTIF('LOCATION RESPONSES'!B:B,B18)
</f>
        <v>0</v>
      </c>
    </row>
    <row r="39" ht="22.5" customHeight="1">
      <c r="A39" s="4">
        <v>46004.59817895833</v>
      </c>
      <c r="B39" s="6" t="s">
        <v>130</v>
      </c>
      <c r="C39" s="6">
        <v>9.864872312E9</v>
      </c>
      <c r="E39" s="9" t="s">
        <v>131</v>
      </c>
      <c r="F39" s="6" t="s">
        <v>22</v>
      </c>
      <c r="G39" s="6" t="s">
        <v>88</v>
      </c>
      <c r="H39" s="6" t="s">
        <v>18</v>
      </c>
      <c r="I39" s="6" t="s">
        <v>24</v>
      </c>
      <c r="J39" s="6" t="s">
        <v>79</v>
      </c>
      <c r="K39" s="6" t="s">
        <v>132</v>
      </c>
      <c r="L39" s="6" t="s">
        <v>85</v>
      </c>
      <c r="M39" s="7"/>
      <c r="N39" s="7"/>
      <c r="P39" s="10"/>
      <c r="Q39" s="10">
        <f>COUNTIF('LOCATION RESPONSES'!B:B,B17)
</f>
        <v>0</v>
      </c>
      <c r="R39" s="10">
        <f>COUNTIF('LOCATION RESPONSES'!B:B,B19)
</f>
        <v>0</v>
      </c>
    </row>
    <row r="40" ht="22.5" customHeight="1">
      <c r="A40" s="4">
        <v>46004.63406923611</v>
      </c>
      <c r="B40" s="6" t="s">
        <v>133</v>
      </c>
      <c r="C40" s="6">
        <v>7.035571722E9</v>
      </c>
      <c r="E40" s="9" t="s">
        <v>134</v>
      </c>
      <c r="F40" s="6" t="s">
        <v>22</v>
      </c>
      <c r="G40" s="6" t="s">
        <v>88</v>
      </c>
      <c r="H40" s="6" t="s">
        <v>18</v>
      </c>
      <c r="I40" s="6" t="s">
        <v>24</v>
      </c>
      <c r="J40" s="6" t="s">
        <v>79</v>
      </c>
      <c r="K40" s="6" t="s">
        <v>135</v>
      </c>
      <c r="L40" s="6" t="s">
        <v>85</v>
      </c>
      <c r="M40" s="7"/>
      <c r="N40" s="7"/>
      <c r="P40" s="10"/>
      <c r="Q40" s="10">
        <f>IFERROR(VLOOKUP(B20,'LOCATION RESPONSES'!B:G,6,FALSE),"")
</f>
        <v>91.7752677</v>
      </c>
      <c r="R40" s="10">
        <f>COUNTIF('LOCATION RESPONSES'!B:B,B20)
</f>
        <v>1</v>
      </c>
    </row>
    <row r="41" ht="22.5" customHeight="1">
      <c r="A41" s="4">
        <v>46004.63994414352</v>
      </c>
      <c r="B41" s="6" t="s">
        <v>136</v>
      </c>
      <c r="C41" s="6">
        <v>9.678226097E9</v>
      </c>
      <c r="E41" s="9" t="s">
        <v>137</v>
      </c>
      <c r="F41" s="6" t="s">
        <v>22</v>
      </c>
      <c r="G41" s="6" t="s">
        <v>88</v>
      </c>
      <c r="H41" s="6" t="s">
        <v>18</v>
      </c>
      <c r="I41" s="6" t="s">
        <v>24</v>
      </c>
      <c r="J41" s="6" t="s">
        <v>79</v>
      </c>
      <c r="K41" s="6" t="s">
        <v>138</v>
      </c>
      <c r="L41" s="6" t="s">
        <v>85</v>
      </c>
      <c r="M41" s="7"/>
      <c r="N41" s="7"/>
      <c r="P41" s="10"/>
      <c r="Q41" s="10">
        <f>COUNTIF('LOCATION RESPONSES'!B:B,B14)
</f>
        <v>0</v>
      </c>
      <c r="R41" s="10">
        <f>COUNTIF('LOCATION RESPONSES'!B:B,B21)
</f>
        <v>0</v>
      </c>
    </row>
    <row r="42" ht="22.5" customHeight="1">
      <c r="A42" s="4">
        <v>46004.657903796295</v>
      </c>
      <c r="B42" s="6" t="s">
        <v>139</v>
      </c>
      <c r="C42" s="6">
        <v>8.811961568E9</v>
      </c>
      <c r="E42" s="9" t="s">
        <v>140</v>
      </c>
      <c r="F42" s="6" t="s">
        <v>22</v>
      </c>
      <c r="G42" s="6" t="s">
        <v>88</v>
      </c>
      <c r="H42" s="6" t="s">
        <v>18</v>
      </c>
      <c r="I42" s="6" t="s">
        <v>24</v>
      </c>
      <c r="J42" s="6" t="s">
        <v>79</v>
      </c>
      <c r="K42" s="6" t="s">
        <v>141</v>
      </c>
      <c r="L42" s="6" t="s">
        <v>85</v>
      </c>
      <c r="M42" s="7"/>
      <c r="N42" s="7"/>
      <c r="P42" s="10"/>
      <c r="Q42" s="10">
        <f>COUNTIF('LOCATION RESPONSES'!B:B,B15)
</f>
        <v>0</v>
      </c>
      <c r="R42" s="10">
        <f>COUNTIF('LOCATION RESPONSES'!B:B,B22)
</f>
        <v>0</v>
      </c>
    </row>
    <row r="43" ht="22.5" customHeight="1">
      <c r="A43" s="11">
        <v>46004.66961575231</v>
      </c>
      <c r="B43" s="12" t="s">
        <v>142</v>
      </c>
      <c r="C43" s="12">
        <v>8.298476409E9</v>
      </c>
      <c r="D43" s="13"/>
      <c r="E43" s="14" t="s">
        <v>143</v>
      </c>
      <c r="F43" s="12" t="s">
        <v>22</v>
      </c>
      <c r="G43" s="12" t="s">
        <v>88</v>
      </c>
      <c r="H43" s="12" t="s">
        <v>18</v>
      </c>
      <c r="I43" s="12" t="s">
        <v>24</v>
      </c>
      <c r="J43" s="12" t="s">
        <v>79</v>
      </c>
      <c r="K43" s="12" t="s">
        <v>144</v>
      </c>
      <c r="L43" s="12" t="s">
        <v>85</v>
      </c>
      <c r="M43" s="15"/>
      <c r="N43" s="15"/>
      <c r="O43" s="13"/>
      <c r="P43" s="16"/>
      <c r="Q43" s="10">
        <f>COUNTIF('LOCATION RESPONSES'!B:B,B16)
</f>
        <v>0</v>
      </c>
      <c r="R43" s="10">
        <f>COUNTIF('LOCATION RESPONSES'!B:B,B23)
</f>
        <v>0</v>
      </c>
    </row>
    <row r="44" ht="22.5" customHeight="1">
      <c r="A44" s="4">
        <v>46004.67427695602</v>
      </c>
      <c r="B44" s="6" t="s">
        <v>145</v>
      </c>
      <c r="C44" s="6">
        <v>9.395285397E9</v>
      </c>
      <c r="E44" s="9" t="s">
        <v>146</v>
      </c>
      <c r="F44" s="6" t="s">
        <v>77</v>
      </c>
      <c r="H44" s="6" t="s">
        <v>18</v>
      </c>
      <c r="I44" s="6" t="s">
        <v>24</v>
      </c>
      <c r="J44" s="6" t="s">
        <v>79</v>
      </c>
      <c r="K44" s="6" t="s">
        <v>115</v>
      </c>
      <c r="L44" s="6" t="s">
        <v>102</v>
      </c>
      <c r="M44" s="7"/>
      <c r="N44" s="7"/>
      <c r="P44" s="10"/>
      <c r="Q44" s="10">
        <f>COUNTIF('LOCATION RESPONSES'!B:B,B17)
</f>
        <v>0</v>
      </c>
      <c r="R44" s="10">
        <f>COUNTIF('LOCATION RESPONSES'!B:B,B24)
</f>
        <v>0</v>
      </c>
    </row>
    <row r="45" ht="22.5" customHeight="1">
      <c r="A45" s="4">
        <v>46004.6832994213</v>
      </c>
      <c r="B45" s="6" t="s">
        <v>147</v>
      </c>
      <c r="C45" s="6">
        <v>9.864846374E9</v>
      </c>
      <c r="E45" s="9" t="s">
        <v>148</v>
      </c>
      <c r="F45" s="6" t="s">
        <v>77</v>
      </c>
      <c r="G45" s="6" t="s">
        <v>88</v>
      </c>
      <c r="H45" s="6" t="s">
        <v>18</v>
      </c>
      <c r="I45" s="6" t="s">
        <v>24</v>
      </c>
      <c r="J45" s="6" t="s">
        <v>79</v>
      </c>
      <c r="K45" s="6" t="s">
        <v>149</v>
      </c>
      <c r="L45" s="6" t="s">
        <v>102</v>
      </c>
      <c r="M45" s="7"/>
      <c r="N45" s="7"/>
      <c r="P45" s="10"/>
      <c r="Q45" s="10">
        <f>COUNTIF('LOCATION RESPONSES'!B:B,B18)
</f>
        <v>0</v>
      </c>
      <c r="R45" s="10">
        <f>COUNTIF('LOCATION RESPONSES'!B:B,B25)
</f>
        <v>0</v>
      </c>
    </row>
    <row r="46" ht="22.5" customHeight="1">
      <c r="A46" s="4">
        <v>46004.68922809028</v>
      </c>
      <c r="B46" s="6" t="s">
        <v>150</v>
      </c>
      <c r="C46" s="6">
        <v>7.08698541E9</v>
      </c>
      <c r="E46" s="9" t="s">
        <v>151</v>
      </c>
      <c r="F46" s="6" t="s">
        <v>22</v>
      </c>
      <c r="G46" s="6" t="s">
        <v>88</v>
      </c>
      <c r="H46" s="6" t="s">
        <v>18</v>
      </c>
      <c r="I46" s="6" t="s">
        <v>24</v>
      </c>
      <c r="J46" s="6" t="s">
        <v>79</v>
      </c>
      <c r="K46" s="6" t="s">
        <v>152</v>
      </c>
      <c r="L46" s="6" t="s">
        <v>85</v>
      </c>
      <c r="M46" s="7"/>
      <c r="N46" s="7"/>
      <c r="P46" s="10"/>
      <c r="Q46" s="10">
        <f>COUNTIF('LOCATION RESPONSES'!B:B,B19)
</f>
        <v>0</v>
      </c>
      <c r="R46" s="10">
        <f>COUNTIF('LOCATION RESPONSES'!B:B,B26)
</f>
        <v>0</v>
      </c>
    </row>
    <row r="47" ht="22.5" customHeight="1">
      <c r="A47" s="4">
        <v>46004.69408068287</v>
      </c>
      <c r="B47" s="6" t="s">
        <v>153</v>
      </c>
      <c r="C47" s="6">
        <v>6.901856592E9</v>
      </c>
      <c r="E47" s="9" t="s">
        <v>154</v>
      </c>
      <c r="F47" s="6" t="s">
        <v>77</v>
      </c>
      <c r="G47" s="6" t="s">
        <v>88</v>
      </c>
      <c r="H47" s="6" t="s">
        <v>18</v>
      </c>
      <c r="I47" s="6" t="s">
        <v>24</v>
      </c>
      <c r="J47" s="6" t="s">
        <v>79</v>
      </c>
      <c r="K47" s="6" t="s">
        <v>40</v>
      </c>
      <c r="L47" s="6" t="s">
        <v>102</v>
      </c>
      <c r="M47" s="7"/>
      <c r="N47" s="7"/>
      <c r="P47" s="10"/>
      <c r="Q47" s="10">
        <f>COUNTIF('LOCATION RESPONSES'!B:B,B20)
</f>
        <v>1</v>
      </c>
      <c r="R47" s="10">
        <f>COUNTIF('LOCATION RESPONSES'!B:B,B27)
</f>
        <v>0</v>
      </c>
    </row>
    <row r="48" ht="22.5" customHeight="1">
      <c r="A48" s="4">
        <v>46004.70564523149</v>
      </c>
      <c r="B48" s="6" t="s">
        <v>155</v>
      </c>
      <c r="C48" s="6">
        <v>6.000504617E9</v>
      </c>
      <c r="E48" s="9" t="s">
        <v>156</v>
      </c>
      <c r="F48" s="6" t="s">
        <v>22</v>
      </c>
      <c r="G48" s="6" t="s">
        <v>88</v>
      </c>
      <c r="H48" s="6" t="s">
        <v>18</v>
      </c>
      <c r="I48" s="6" t="s">
        <v>24</v>
      </c>
      <c r="J48" s="6" t="s">
        <v>79</v>
      </c>
      <c r="K48" s="6" t="s">
        <v>95</v>
      </c>
      <c r="L48" s="6" t="s">
        <v>85</v>
      </c>
      <c r="M48" s="7"/>
      <c r="N48" s="7"/>
      <c r="P48" s="10"/>
      <c r="Q48" s="10">
        <f>COUNTIF('LOCATION RESPONSES'!B:B,B21)
</f>
        <v>0</v>
      </c>
      <c r="R48" s="10">
        <f>COUNTIF('LOCATION RESPONSES'!B:B,B28)
</f>
        <v>0</v>
      </c>
    </row>
    <row r="49" ht="22.5" customHeight="1">
      <c r="A49" s="4">
        <v>46006.60489479167</v>
      </c>
      <c r="B49" s="6" t="s">
        <v>157</v>
      </c>
      <c r="C49" s="6">
        <v>8.638382853E9</v>
      </c>
      <c r="E49" s="9" t="s">
        <v>158</v>
      </c>
      <c r="F49" s="6" t="s">
        <v>22</v>
      </c>
      <c r="G49" s="6" t="s">
        <v>88</v>
      </c>
      <c r="H49" s="6" t="s">
        <v>18</v>
      </c>
      <c r="I49" s="6" t="s">
        <v>24</v>
      </c>
      <c r="J49" s="6" t="s">
        <v>79</v>
      </c>
      <c r="K49" s="6" t="s">
        <v>159</v>
      </c>
      <c r="L49" s="6" t="s">
        <v>85</v>
      </c>
      <c r="P49" s="10"/>
      <c r="Q49" s="10">
        <f>COUNTIF('LOCATION RESPONSES'!B:B,B22)
</f>
        <v>0</v>
      </c>
      <c r="R49" s="10">
        <f>COUNTIF('LOCATION RESPONSES'!B:B,B29)
</f>
        <v>0</v>
      </c>
    </row>
    <row r="50" ht="22.5" customHeight="1">
      <c r="A50" s="4">
        <v>46006.62973891204</v>
      </c>
      <c r="B50" s="6" t="s">
        <v>160</v>
      </c>
      <c r="C50" s="6">
        <v>9.707047474E9</v>
      </c>
      <c r="E50" s="9" t="s">
        <v>161</v>
      </c>
      <c r="F50" s="6" t="s">
        <v>22</v>
      </c>
      <c r="G50" s="6" t="s">
        <v>88</v>
      </c>
      <c r="H50" s="6" t="s">
        <v>18</v>
      </c>
      <c r="I50" s="6" t="s">
        <v>24</v>
      </c>
      <c r="J50" s="6" t="s">
        <v>79</v>
      </c>
      <c r="K50" s="6" t="s">
        <v>162</v>
      </c>
      <c r="L50" s="6" t="s">
        <v>85</v>
      </c>
      <c r="P50" s="10"/>
      <c r="Q50" s="10">
        <f>COUNTIF('LOCATION RESPONSES'!B:B,B23)
</f>
        <v>0</v>
      </c>
      <c r="R50" s="10">
        <f>COUNTIF('LOCATION RESPONSES'!B:B,B30)
</f>
        <v>0</v>
      </c>
    </row>
    <row r="51" ht="22.5" customHeight="1">
      <c r="A51" s="4">
        <v>46006.67597858796</v>
      </c>
      <c r="B51" s="6" t="s">
        <v>163</v>
      </c>
      <c r="C51" s="6">
        <v>6.001283434E9</v>
      </c>
      <c r="E51" s="9" t="s">
        <v>164</v>
      </c>
      <c r="F51" s="6" t="s">
        <v>22</v>
      </c>
      <c r="G51" s="6" t="s">
        <v>88</v>
      </c>
      <c r="H51" s="6" t="s">
        <v>18</v>
      </c>
      <c r="I51" s="6" t="s">
        <v>24</v>
      </c>
      <c r="J51" s="6" t="s">
        <v>79</v>
      </c>
      <c r="K51" s="6" t="s">
        <v>165</v>
      </c>
      <c r="L51" s="6" t="s">
        <v>85</v>
      </c>
      <c r="P51" s="10"/>
      <c r="Q51" s="10">
        <f>COUNTIF('LOCATION RESPONSES'!B:B,B24)
</f>
        <v>0</v>
      </c>
      <c r="R51" s="10">
        <f>COUNTIF('LOCATION RESPONSES'!B:B,B31)
</f>
        <v>0</v>
      </c>
    </row>
    <row r="52" ht="22.5" customHeight="1">
      <c r="A52" s="17">
        <v>46006.6913640162</v>
      </c>
      <c r="B52" s="18" t="s">
        <v>166</v>
      </c>
      <c r="C52" s="18">
        <v>9.86404784E9</v>
      </c>
      <c r="D52" s="19"/>
      <c r="E52" s="20" t="s">
        <v>167</v>
      </c>
      <c r="F52" s="18" t="s">
        <v>22</v>
      </c>
      <c r="G52" s="18" t="s">
        <v>88</v>
      </c>
      <c r="H52" s="18" t="s">
        <v>18</v>
      </c>
      <c r="I52" s="18" t="s">
        <v>24</v>
      </c>
      <c r="J52" s="18" t="s">
        <v>79</v>
      </c>
      <c r="K52" s="18" t="s">
        <v>168</v>
      </c>
      <c r="L52" s="18" t="s">
        <v>85</v>
      </c>
      <c r="M52" s="19"/>
      <c r="N52" s="19"/>
      <c r="O52" s="19"/>
      <c r="P52" s="18" t="s">
        <v>169</v>
      </c>
      <c r="Q52" s="10">
        <f>COUNTIF('LOCATION RESPONSES'!B:B,B25)
</f>
        <v>0</v>
      </c>
      <c r="R52" s="10">
        <f>COUNTIF('LOCATION RESPONSES'!B:B,B32)
</f>
        <v>0</v>
      </c>
    </row>
    <row r="53" ht="22.5" customHeight="1">
      <c r="A53" s="4">
        <v>46006.7033208912</v>
      </c>
      <c r="B53" s="6" t="s">
        <v>170</v>
      </c>
      <c r="C53" s="6">
        <v>9.954533955E9</v>
      </c>
      <c r="E53" s="9" t="s">
        <v>171</v>
      </c>
      <c r="F53" s="6" t="s">
        <v>22</v>
      </c>
      <c r="G53" s="6" t="s">
        <v>88</v>
      </c>
      <c r="H53" s="6" t="s">
        <v>18</v>
      </c>
      <c r="I53" s="6" t="s">
        <v>24</v>
      </c>
      <c r="J53" s="6" t="s">
        <v>79</v>
      </c>
      <c r="K53" s="6" t="s">
        <v>172</v>
      </c>
      <c r="L53" s="6" t="s">
        <v>85</v>
      </c>
      <c r="P53" s="10"/>
      <c r="Q53" s="10">
        <f>COUNTIF('LOCATION RESPONSES'!B:B,B26)
</f>
        <v>0</v>
      </c>
      <c r="R53" s="10">
        <f>COUNTIF('LOCATION RESPONSES'!B:B,B33)
</f>
        <v>0</v>
      </c>
    </row>
    <row r="54" ht="22.5" customHeight="1">
      <c r="A54" s="4">
        <v>46006.709428229165</v>
      </c>
      <c r="B54" s="6" t="s">
        <v>173</v>
      </c>
      <c r="C54" s="6">
        <v>9.864210378E9</v>
      </c>
      <c r="E54" s="9" t="s">
        <v>174</v>
      </c>
      <c r="F54" s="6" t="s">
        <v>77</v>
      </c>
      <c r="G54" s="6" t="s">
        <v>88</v>
      </c>
      <c r="H54" s="6" t="s">
        <v>18</v>
      </c>
      <c r="I54" s="6" t="s">
        <v>24</v>
      </c>
      <c r="J54" s="6" t="s">
        <v>79</v>
      </c>
      <c r="K54" s="6" t="s">
        <v>40</v>
      </c>
      <c r="L54" s="6" t="s">
        <v>102</v>
      </c>
      <c r="M54" s="21">
        <v>46006.0</v>
      </c>
      <c r="N54" s="7"/>
      <c r="P54" s="10"/>
      <c r="Q54" s="10">
        <f>COUNTIF('LOCATION RESPONSES'!B:B,B27)
</f>
        <v>0</v>
      </c>
      <c r="R54" s="10">
        <f>COUNTIF('LOCATION RESPONSES'!B:B,B34)
</f>
        <v>0</v>
      </c>
    </row>
    <row r="55" ht="22.5" customHeight="1">
      <c r="A55" s="4">
        <v>46006.71786556713</v>
      </c>
      <c r="B55" s="6" t="s">
        <v>175</v>
      </c>
      <c r="C55" s="6">
        <v>8.372052843E9</v>
      </c>
      <c r="E55" s="9" t="s">
        <v>176</v>
      </c>
      <c r="F55" s="6" t="s">
        <v>22</v>
      </c>
      <c r="H55" s="6" t="s">
        <v>18</v>
      </c>
      <c r="I55" s="6" t="s">
        <v>24</v>
      </c>
      <c r="J55" s="6" t="s">
        <v>79</v>
      </c>
      <c r="K55" s="6" t="s">
        <v>177</v>
      </c>
      <c r="L55" s="6" t="s">
        <v>85</v>
      </c>
      <c r="P55" s="10"/>
      <c r="Q55" s="10">
        <f>COUNTIF('LOCATION RESPONSES'!B:B,B28)
</f>
        <v>0</v>
      </c>
      <c r="R55" s="10">
        <f>COUNTIF('LOCATION RESPONSES'!B:B,B35)
</f>
        <v>0</v>
      </c>
    </row>
    <row r="56" ht="22.5" customHeight="1">
      <c r="A56" s="4">
        <v>46006.72333329861</v>
      </c>
      <c r="B56" s="6" t="s">
        <v>178</v>
      </c>
      <c r="C56" s="6">
        <v>9.864795079E9</v>
      </c>
      <c r="E56" s="9" t="s">
        <v>179</v>
      </c>
      <c r="F56" s="6" t="s">
        <v>77</v>
      </c>
      <c r="G56" s="6" t="s">
        <v>88</v>
      </c>
      <c r="H56" s="6" t="s">
        <v>18</v>
      </c>
      <c r="I56" s="6" t="s">
        <v>24</v>
      </c>
      <c r="J56" s="6" t="s">
        <v>79</v>
      </c>
      <c r="K56" s="6" t="s">
        <v>180</v>
      </c>
      <c r="L56" s="6" t="s">
        <v>102</v>
      </c>
      <c r="M56" s="21">
        <v>46006.0</v>
      </c>
      <c r="N56" s="7"/>
      <c r="P56" s="10"/>
      <c r="Q56" s="10">
        <f>COUNTIF('LOCATION RESPONSES'!B:B,B29)
</f>
        <v>0</v>
      </c>
      <c r="R56" s="10">
        <f>COUNTIF('LOCATION RESPONSES'!B:B,B36)
</f>
        <v>0</v>
      </c>
    </row>
    <row r="57" ht="22.5" customHeight="1">
      <c r="A57" s="4">
        <v>46006.73203142361</v>
      </c>
      <c r="B57" s="6" t="s">
        <v>181</v>
      </c>
      <c r="C57" s="6">
        <v>7.099037005E9</v>
      </c>
      <c r="E57" s="9" t="s">
        <v>182</v>
      </c>
      <c r="F57" s="6" t="s">
        <v>22</v>
      </c>
      <c r="G57" s="6" t="s">
        <v>88</v>
      </c>
      <c r="H57" s="6" t="s">
        <v>18</v>
      </c>
      <c r="I57" s="6" t="s">
        <v>24</v>
      </c>
      <c r="J57" s="6" t="s">
        <v>79</v>
      </c>
      <c r="K57" s="6" t="s">
        <v>183</v>
      </c>
      <c r="L57" s="6" t="s">
        <v>85</v>
      </c>
      <c r="P57" s="10"/>
      <c r="Q57" s="10">
        <f>COUNTIF('LOCATION RESPONSES'!B:B,B30)
</f>
        <v>0</v>
      </c>
      <c r="R57" s="10">
        <f>COUNTIF('LOCATION RESPONSES'!B:B,B37)
</f>
        <v>0</v>
      </c>
    </row>
    <row r="58" ht="22.5" customHeight="1">
      <c r="A58" s="4">
        <v>46007.610300451386</v>
      </c>
      <c r="B58" s="6" t="s">
        <v>184</v>
      </c>
      <c r="C58" s="6">
        <v>9.1011326E9</v>
      </c>
      <c r="E58" s="9" t="s">
        <v>185</v>
      </c>
      <c r="F58" s="6" t="s">
        <v>22</v>
      </c>
      <c r="G58" s="6" t="s">
        <v>88</v>
      </c>
      <c r="H58" s="6" t="s">
        <v>18</v>
      </c>
      <c r="I58" s="6" t="s">
        <v>24</v>
      </c>
      <c r="J58" s="6" t="s">
        <v>79</v>
      </c>
      <c r="K58" s="6" t="s">
        <v>186</v>
      </c>
      <c r="L58" s="6" t="s">
        <v>85</v>
      </c>
      <c r="Q58" s="10">
        <f>COUNTIF('LOCATION RESPONSES'!B:B,B31)
</f>
        <v>0</v>
      </c>
      <c r="R58" s="10">
        <f>COUNTIF('LOCATION RESPONSES'!B:B,B38)
</f>
        <v>0</v>
      </c>
    </row>
    <row r="59" ht="22.5" customHeight="1">
      <c r="A59" s="4">
        <v>46007.620982824075</v>
      </c>
      <c r="B59" s="6" t="s">
        <v>187</v>
      </c>
      <c r="C59" s="6">
        <v>9.854132497E9</v>
      </c>
      <c r="E59" s="9" t="s">
        <v>188</v>
      </c>
      <c r="F59" s="6" t="s">
        <v>77</v>
      </c>
      <c r="G59" s="6" t="s">
        <v>88</v>
      </c>
      <c r="H59" s="6" t="s">
        <v>18</v>
      </c>
      <c r="I59" s="6" t="s">
        <v>24</v>
      </c>
      <c r="J59" s="6" t="s">
        <v>79</v>
      </c>
      <c r="K59" s="6" t="s">
        <v>159</v>
      </c>
      <c r="L59" s="6" t="s">
        <v>85</v>
      </c>
      <c r="Q59" s="10">
        <f>COUNTIF('LOCATION RESPONSES'!B:B,B32)
</f>
        <v>0</v>
      </c>
      <c r="R59" s="10">
        <f>COUNTIF('LOCATION RESPONSES'!B:B,B39)
</f>
        <v>0</v>
      </c>
    </row>
    <row r="60" ht="22.5" customHeight="1">
      <c r="A60" s="4">
        <v>46007.627057997684</v>
      </c>
      <c r="B60" s="6" t="s">
        <v>189</v>
      </c>
      <c r="C60" s="6">
        <v>7.002340754E9</v>
      </c>
      <c r="E60" s="9" t="s">
        <v>190</v>
      </c>
      <c r="F60" s="6" t="s">
        <v>22</v>
      </c>
      <c r="G60" s="6" t="s">
        <v>88</v>
      </c>
      <c r="H60" s="6" t="s">
        <v>18</v>
      </c>
      <c r="I60" s="6" t="s">
        <v>24</v>
      </c>
      <c r="J60" s="6" t="s">
        <v>79</v>
      </c>
      <c r="K60" s="6" t="s">
        <v>65</v>
      </c>
      <c r="L60" s="6" t="s">
        <v>85</v>
      </c>
      <c r="Q60" s="10">
        <f>COUNTIF('LOCATION RESPONSES'!B:B,B33)
</f>
        <v>0</v>
      </c>
      <c r="R60" s="10">
        <f>COUNTIF('LOCATION RESPONSES'!B:B,B40)
</f>
        <v>0</v>
      </c>
    </row>
    <row r="61" ht="22.5" customHeight="1">
      <c r="A61" s="4">
        <v>46007.6373925463</v>
      </c>
      <c r="B61" s="6" t="s">
        <v>191</v>
      </c>
      <c r="C61" s="6">
        <v>9.86463728E9</v>
      </c>
      <c r="E61" s="9" t="s">
        <v>192</v>
      </c>
      <c r="F61" s="6" t="s">
        <v>77</v>
      </c>
      <c r="G61" s="6" t="s">
        <v>88</v>
      </c>
      <c r="H61" s="6" t="s">
        <v>18</v>
      </c>
      <c r="I61" s="6" t="s">
        <v>24</v>
      </c>
      <c r="J61" s="6" t="s">
        <v>79</v>
      </c>
      <c r="K61" s="6" t="s">
        <v>193</v>
      </c>
      <c r="Q61" s="10">
        <f>COUNTIF('LOCATION RESPONSES'!B:B,B34)
</f>
        <v>0</v>
      </c>
      <c r="R61" s="10">
        <f>COUNTIF('LOCATION RESPONSES'!B:B,B41)
</f>
        <v>0</v>
      </c>
    </row>
    <row r="62" ht="22.5" customHeight="1">
      <c r="A62" s="4">
        <v>46007.65817983796</v>
      </c>
      <c r="B62" s="6" t="s">
        <v>194</v>
      </c>
      <c r="C62" s="6">
        <v>8.822223344E9</v>
      </c>
      <c r="E62" s="9" t="s">
        <v>195</v>
      </c>
      <c r="F62" s="6" t="s">
        <v>22</v>
      </c>
      <c r="G62" s="6" t="s">
        <v>88</v>
      </c>
      <c r="H62" s="6" t="s">
        <v>18</v>
      </c>
      <c r="I62" s="6" t="s">
        <v>24</v>
      </c>
      <c r="J62" s="6" t="s">
        <v>79</v>
      </c>
      <c r="K62" s="6" t="s">
        <v>28</v>
      </c>
      <c r="L62" s="6" t="s">
        <v>85</v>
      </c>
      <c r="Q62" s="10">
        <f>COUNTIF('LOCATION RESPONSES'!B:B,B35)
</f>
        <v>0</v>
      </c>
      <c r="R62" s="10">
        <f>COUNTIF('LOCATION RESPONSES'!B:B,B42)
</f>
        <v>0</v>
      </c>
    </row>
    <row r="63" ht="22.5" customHeight="1">
      <c r="A63" s="4">
        <v>46009.52340533565</v>
      </c>
      <c r="B63" s="6" t="s">
        <v>196</v>
      </c>
      <c r="C63" s="6">
        <v>9.101314987E9</v>
      </c>
      <c r="E63" s="9" t="s">
        <v>197</v>
      </c>
      <c r="F63" s="6" t="s">
        <v>22</v>
      </c>
      <c r="G63" s="6" t="s">
        <v>88</v>
      </c>
      <c r="H63" s="6" t="s">
        <v>18</v>
      </c>
      <c r="I63" s="6" t="s">
        <v>24</v>
      </c>
      <c r="J63" s="6" t="s">
        <v>79</v>
      </c>
      <c r="K63" s="6" t="s">
        <v>198</v>
      </c>
      <c r="L63" s="6" t="s">
        <v>85</v>
      </c>
      <c r="Q63" s="10">
        <f>COUNTIF('LOCATION RESPONSES'!B:B,B36)
</f>
        <v>0</v>
      </c>
      <c r="R63" s="10">
        <f>COUNTIF('LOCATION RESPONSES'!B:B,B43)
</f>
        <v>0</v>
      </c>
    </row>
    <row r="64" ht="22.5" customHeight="1">
      <c r="A64" s="4">
        <v>46009.54700409722</v>
      </c>
      <c r="B64" s="6" t="s">
        <v>199</v>
      </c>
      <c r="C64" s="6">
        <v>9.706113189E9</v>
      </c>
      <c r="E64" s="9" t="s">
        <v>200</v>
      </c>
      <c r="F64" s="6" t="s">
        <v>22</v>
      </c>
      <c r="G64" s="6" t="s">
        <v>88</v>
      </c>
      <c r="H64" s="6" t="s">
        <v>18</v>
      </c>
      <c r="I64" s="6" t="s">
        <v>24</v>
      </c>
      <c r="J64" s="6" t="s">
        <v>79</v>
      </c>
      <c r="K64" s="6" t="s">
        <v>201</v>
      </c>
      <c r="L64" s="6" t="s">
        <v>85</v>
      </c>
      <c r="Q64" s="10">
        <f>COUNTIF('LOCATION RESPONSES'!B:B,B37)
</f>
        <v>0</v>
      </c>
      <c r="R64" s="10">
        <f>COUNTIF('LOCATION RESPONSES'!B:B,B44)
</f>
        <v>0</v>
      </c>
    </row>
    <row r="65" ht="22.5" customHeight="1">
      <c r="A65" s="4">
        <v>46009.54990863426</v>
      </c>
      <c r="B65" s="6" t="s">
        <v>202</v>
      </c>
      <c r="C65" s="6">
        <v>9.395990115E9</v>
      </c>
      <c r="E65" s="9" t="s">
        <v>203</v>
      </c>
      <c r="F65" s="6" t="s">
        <v>77</v>
      </c>
      <c r="G65" s="6" t="s">
        <v>88</v>
      </c>
      <c r="H65" s="6" t="s">
        <v>18</v>
      </c>
      <c r="I65" s="6" t="s">
        <v>24</v>
      </c>
      <c r="J65" s="6" t="s">
        <v>79</v>
      </c>
      <c r="K65" s="6" t="s">
        <v>204</v>
      </c>
      <c r="L65" s="6" t="s">
        <v>102</v>
      </c>
      <c r="M65" s="21">
        <v>46009.0</v>
      </c>
      <c r="N65" s="7"/>
      <c r="Q65" s="10">
        <f>COUNTIF('LOCATION RESPONSES'!B:B,B38)
</f>
        <v>0</v>
      </c>
      <c r="R65" s="10">
        <f>COUNTIF('LOCATION RESPONSES'!B:B,B45)
</f>
        <v>0</v>
      </c>
    </row>
    <row r="66" ht="22.5" customHeight="1">
      <c r="A66" s="4">
        <v>46009.60464078704</v>
      </c>
      <c r="B66" s="6" t="s">
        <v>205</v>
      </c>
      <c r="C66" s="6">
        <v>8.720908029E9</v>
      </c>
      <c r="E66" s="9" t="s">
        <v>206</v>
      </c>
      <c r="F66" s="6" t="s">
        <v>22</v>
      </c>
      <c r="G66" s="6" t="s">
        <v>88</v>
      </c>
      <c r="H66" s="6" t="s">
        <v>18</v>
      </c>
      <c r="I66" s="6" t="s">
        <v>24</v>
      </c>
      <c r="J66" s="6" t="s">
        <v>79</v>
      </c>
      <c r="K66" s="6" t="s">
        <v>28</v>
      </c>
      <c r="L66" s="6" t="s">
        <v>85</v>
      </c>
      <c r="Q66" s="10">
        <f>COUNTIF('LOCATION RESPONSES'!B:B,B39)
</f>
        <v>0</v>
      </c>
      <c r="R66" s="10">
        <f>COUNTIF('LOCATION RESPONSES'!B:B,B46)
</f>
        <v>0</v>
      </c>
    </row>
    <row r="67" ht="22.5" customHeight="1">
      <c r="A67" s="4">
        <v>46009.608313969904</v>
      </c>
      <c r="B67" s="6" t="s">
        <v>207</v>
      </c>
      <c r="C67" s="6">
        <v>7.002490572E9</v>
      </c>
      <c r="E67" s="9" t="s">
        <v>208</v>
      </c>
      <c r="F67" s="6" t="s">
        <v>22</v>
      </c>
      <c r="G67" s="6" t="s">
        <v>88</v>
      </c>
      <c r="H67" s="6" t="s">
        <v>18</v>
      </c>
      <c r="I67" s="6" t="s">
        <v>24</v>
      </c>
      <c r="J67" s="6" t="s">
        <v>79</v>
      </c>
      <c r="K67" s="6" t="s">
        <v>209</v>
      </c>
      <c r="L67" s="6" t="s">
        <v>85</v>
      </c>
      <c r="Q67" s="10">
        <f>COUNTIF('LOCATION RESPONSES'!B:B,B40)
</f>
        <v>0</v>
      </c>
      <c r="R67" s="10">
        <f>COUNTIF('LOCATION RESPONSES'!B:B,B47)
</f>
        <v>0</v>
      </c>
    </row>
    <row r="68" ht="22.5" customHeight="1">
      <c r="A68" s="4">
        <v>46009.61258237268</v>
      </c>
      <c r="B68" s="6" t="s">
        <v>210</v>
      </c>
      <c r="C68" s="6">
        <v>8.87654212E8</v>
      </c>
      <c r="E68" s="9" t="s">
        <v>211</v>
      </c>
      <c r="F68" s="6" t="s">
        <v>22</v>
      </c>
      <c r="G68" s="6" t="s">
        <v>88</v>
      </c>
      <c r="H68" s="6" t="s">
        <v>18</v>
      </c>
      <c r="I68" s="6" t="s">
        <v>24</v>
      </c>
      <c r="J68" s="6" t="s">
        <v>79</v>
      </c>
      <c r="K68" s="6" t="s">
        <v>212</v>
      </c>
      <c r="L68" s="6" t="s">
        <v>85</v>
      </c>
      <c r="Q68" s="10">
        <f>COUNTIF('LOCATION RESPONSES'!B:B,B41)
</f>
        <v>0</v>
      </c>
      <c r="R68" s="10">
        <f>COUNTIF('LOCATION RESPONSES'!B:B,B48)
</f>
        <v>0</v>
      </c>
    </row>
    <row r="69" ht="22.5" customHeight="1">
      <c r="A69" s="4">
        <v>46009.6168804051</v>
      </c>
      <c r="B69" s="6" t="s">
        <v>213</v>
      </c>
      <c r="C69" s="6">
        <v>6.900833886E9</v>
      </c>
      <c r="E69" s="9" t="s">
        <v>214</v>
      </c>
      <c r="F69" s="6" t="s">
        <v>22</v>
      </c>
      <c r="G69" s="6" t="s">
        <v>88</v>
      </c>
      <c r="H69" s="6" t="s">
        <v>18</v>
      </c>
      <c r="I69" s="6" t="s">
        <v>24</v>
      </c>
      <c r="J69" s="6" t="s">
        <v>79</v>
      </c>
      <c r="K69" s="6" t="s">
        <v>212</v>
      </c>
      <c r="L69" s="6" t="s">
        <v>85</v>
      </c>
      <c r="Q69" s="10">
        <f>COUNTIF('LOCATION RESPONSES'!B:B,B42)
</f>
        <v>0</v>
      </c>
      <c r="R69" s="10">
        <f>COUNTIF('LOCATION RESPONSES'!B:B,B49)
</f>
        <v>0</v>
      </c>
    </row>
    <row r="70" ht="22.5" customHeight="1">
      <c r="A70" s="11">
        <v>46009.64727289352</v>
      </c>
      <c r="B70" s="12" t="s">
        <v>215</v>
      </c>
      <c r="C70" s="12">
        <v>9.10150253E9</v>
      </c>
      <c r="D70" s="13"/>
      <c r="E70" s="14" t="s">
        <v>216</v>
      </c>
      <c r="F70" s="12" t="s">
        <v>22</v>
      </c>
      <c r="G70" s="13"/>
      <c r="H70" s="12" t="s">
        <v>18</v>
      </c>
      <c r="I70" s="12" t="s">
        <v>24</v>
      </c>
      <c r="J70" s="12" t="s">
        <v>79</v>
      </c>
      <c r="K70" s="12" t="s">
        <v>217</v>
      </c>
      <c r="L70" s="12" t="s">
        <v>85</v>
      </c>
      <c r="M70" s="13"/>
      <c r="N70" s="13"/>
      <c r="O70" s="13"/>
      <c r="P70" s="13"/>
      <c r="Q70" s="10">
        <f>COUNTIF('LOCATION RESPONSES'!B:B,B43)
</f>
        <v>0</v>
      </c>
      <c r="R70" s="10">
        <f>COUNTIF('LOCATION RESPONSES'!B:B,B50)
</f>
        <v>0</v>
      </c>
    </row>
    <row r="71" ht="22.5" customHeight="1">
      <c r="A71" s="4">
        <v>46009.65243503472</v>
      </c>
      <c r="B71" s="6" t="s">
        <v>218</v>
      </c>
      <c r="C71" s="6">
        <v>9.864260561E9</v>
      </c>
      <c r="E71" s="9" t="s">
        <v>219</v>
      </c>
      <c r="F71" s="6" t="s">
        <v>77</v>
      </c>
      <c r="G71" s="6" t="s">
        <v>88</v>
      </c>
      <c r="H71" s="6" t="s">
        <v>18</v>
      </c>
      <c r="I71" s="6" t="s">
        <v>24</v>
      </c>
      <c r="J71" s="6" t="s">
        <v>79</v>
      </c>
      <c r="K71" s="6" t="s">
        <v>180</v>
      </c>
      <c r="Q71" s="10">
        <f>COUNTIF('LOCATION RESPONSES'!B:B,B44)
</f>
        <v>0</v>
      </c>
      <c r="R71" s="10">
        <f>COUNTIF('LOCATION RESPONSES'!B:B,B51)
</f>
        <v>0</v>
      </c>
    </row>
    <row r="72" ht="22.5" customHeight="1">
      <c r="A72" s="4">
        <v>46009.65783334491</v>
      </c>
      <c r="B72" s="6" t="s">
        <v>220</v>
      </c>
      <c r="C72" s="6">
        <v>9.864068462E9</v>
      </c>
      <c r="E72" s="9" t="s">
        <v>221</v>
      </c>
      <c r="F72" s="6" t="s">
        <v>22</v>
      </c>
      <c r="G72" s="6" t="s">
        <v>88</v>
      </c>
      <c r="H72" s="6" t="s">
        <v>18</v>
      </c>
      <c r="I72" s="6" t="s">
        <v>24</v>
      </c>
      <c r="J72" s="6" t="s">
        <v>79</v>
      </c>
      <c r="K72" s="6" t="s">
        <v>159</v>
      </c>
      <c r="L72" s="6" t="s">
        <v>85</v>
      </c>
      <c r="Q72" s="10">
        <f>COUNTIF('LOCATION RESPONSES'!B:B,B45)
</f>
        <v>0</v>
      </c>
      <c r="R72" s="10">
        <f>COUNTIF('LOCATION RESPONSES'!B:B,B52)
</f>
        <v>0</v>
      </c>
    </row>
    <row r="73" ht="22.5" customHeight="1">
      <c r="A73" s="4">
        <v>46009.66254064815</v>
      </c>
      <c r="B73" s="6" t="s">
        <v>222</v>
      </c>
      <c r="C73" s="6">
        <v>9.365317372E9</v>
      </c>
      <c r="E73" s="9" t="s">
        <v>223</v>
      </c>
      <c r="F73" s="6" t="s">
        <v>77</v>
      </c>
      <c r="G73" s="6" t="s">
        <v>88</v>
      </c>
      <c r="H73" s="6" t="s">
        <v>18</v>
      </c>
      <c r="I73" s="6" t="s">
        <v>24</v>
      </c>
      <c r="J73" s="6" t="s">
        <v>79</v>
      </c>
      <c r="K73" s="6" t="s">
        <v>224</v>
      </c>
      <c r="L73" s="6" t="s">
        <v>85</v>
      </c>
      <c r="Q73" s="10">
        <f>COUNTIF('LOCATION RESPONSES'!B:B,B46)
</f>
        <v>0</v>
      </c>
      <c r="R73" s="10">
        <f>COUNTIF('LOCATION RESPONSES'!B:B,B53)
</f>
        <v>0</v>
      </c>
    </row>
    <row r="74" ht="22.5" customHeight="1">
      <c r="A74" s="4">
        <v>46009.66727710648</v>
      </c>
      <c r="B74" s="6" t="s">
        <v>225</v>
      </c>
      <c r="C74" s="6">
        <v>9.101255302E9</v>
      </c>
      <c r="E74" s="9" t="s">
        <v>226</v>
      </c>
      <c r="F74" s="6" t="s">
        <v>22</v>
      </c>
      <c r="G74" s="6" t="s">
        <v>88</v>
      </c>
      <c r="H74" s="6" t="s">
        <v>18</v>
      </c>
      <c r="I74" s="6" t="s">
        <v>24</v>
      </c>
      <c r="J74" s="6" t="s">
        <v>79</v>
      </c>
      <c r="K74" s="6" t="s">
        <v>115</v>
      </c>
      <c r="L74" s="6" t="s">
        <v>85</v>
      </c>
      <c r="Q74" s="10">
        <f>COUNTIF('LOCATION RESPONSES'!B:B,B47)
</f>
        <v>0</v>
      </c>
      <c r="R74" s="10">
        <f>COUNTIF('LOCATION RESPONSES'!B:B,B54)
</f>
        <v>0</v>
      </c>
    </row>
    <row r="75" ht="22.5" customHeight="1">
      <c r="A75" s="4">
        <v>46009.67998315972</v>
      </c>
      <c r="B75" s="6" t="s">
        <v>227</v>
      </c>
      <c r="C75" s="6">
        <v>8.638566931E9</v>
      </c>
      <c r="E75" s="9" t="s">
        <v>228</v>
      </c>
      <c r="F75" s="6" t="s">
        <v>22</v>
      </c>
      <c r="G75" s="6" t="s">
        <v>88</v>
      </c>
      <c r="H75" s="6" t="s">
        <v>18</v>
      </c>
      <c r="I75" s="6" t="s">
        <v>24</v>
      </c>
      <c r="J75" s="6" t="s">
        <v>79</v>
      </c>
      <c r="K75" s="6" t="s">
        <v>28</v>
      </c>
      <c r="L75" s="6" t="s">
        <v>85</v>
      </c>
      <c r="Q75" s="10">
        <f>COUNTIF('LOCATION RESPONSES'!B:B,B48)
</f>
        <v>0</v>
      </c>
      <c r="R75" s="10">
        <f>COUNTIF('LOCATION RESPONSES'!B:B,B55)
</f>
        <v>0</v>
      </c>
    </row>
    <row r="76" ht="22.5" customHeight="1">
      <c r="A76" s="4">
        <v>46010.6479912963</v>
      </c>
      <c r="B76" s="6" t="s">
        <v>229</v>
      </c>
      <c r="C76" s="6">
        <v>8.723830394E9</v>
      </c>
      <c r="E76" s="9" t="s">
        <v>230</v>
      </c>
      <c r="F76" s="6" t="s">
        <v>22</v>
      </c>
      <c r="G76" s="6" t="s">
        <v>88</v>
      </c>
      <c r="H76" s="6" t="s">
        <v>18</v>
      </c>
      <c r="I76" s="6" t="s">
        <v>24</v>
      </c>
      <c r="J76" s="6" t="s">
        <v>79</v>
      </c>
      <c r="K76" s="6" t="s">
        <v>231</v>
      </c>
      <c r="L76" s="6" t="s">
        <v>85</v>
      </c>
      <c r="Q76" s="10">
        <f>COUNTIF('LOCATION RESPONSES'!B:B,B49)
</f>
        <v>0</v>
      </c>
      <c r="R76" s="10">
        <f>COUNTIF('LOCATION RESPONSES'!B:B,B56)
</f>
        <v>0</v>
      </c>
    </row>
    <row r="77" ht="22.5" customHeight="1">
      <c r="A77" s="4">
        <v>46010.66903697916</v>
      </c>
      <c r="B77" s="6" t="s">
        <v>232</v>
      </c>
      <c r="C77" s="6" t="s">
        <v>88</v>
      </c>
      <c r="E77" s="9" t="s">
        <v>233</v>
      </c>
      <c r="F77" s="6" t="s">
        <v>22</v>
      </c>
      <c r="G77" s="6" t="s">
        <v>88</v>
      </c>
      <c r="H77" s="6" t="s">
        <v>18</v>
      </c>
      <c r="I77" s="6" t="s">
        <v>24</v>
      </c>
      <c r="J77" s="6" t="s">
        <v>79</v>
      </c>
      <c r="K77" s="6" t="s">
        <v>40</v>
      </c>
      <c r="L77" s="6" t="s">
        <v>102</v>
      </c>
      <c r="M77" s="21">
        <v>46010.0</v>
      </c>
      <c r="N77" s="7"/>
      <c r="Q77" s="10">
        <f>COUNTIF('LOCATION RESPONSES'!B:B,B50)
</f>
        <v>0</v>
      </c>
      <c r="R77" s="10">
        <f>COUNTIF('LOCATION RESPONSES'!B:B,B57)
</f>
        <v>0</v>
      </c>
    </row>
    <row r="78" ht="22.5" customHeight="1">
      <c r="A78" s="4">
        <v>46010.6725897338</v>
      </c>
      <c r="B78" s="6" t="s">
        <v>234</v>
      </c>
      <c r="C78" s="6" t="s">
        <v>88</v>
      </c>
      <c r="E78" s="9" t="s">
        <v>235</v>
      </c>
      <c r="F78" s="6" t="s">
        <v>77</v>
      </c>
      <c r="G78" s="6" t="s">
        <v>88</v>
      </c>
      <c r="H78" s="6" t="s">
        <v>18</v>
      </c>
      <c r="I78" s="6" t="s">
        <v>24</v>
      </c>
      <c r="J78" s="6" t="s">
        <v>79</v>
      </c>
      <c r="K78" s="6" t="s">
        <v>40</v>
      </c>
      <c r="L78" s="6" t="s">
        <v>102</v>
      </c>
      <c r="M78" s="21">
        <v>46010.0</v>
      </c>
      <c r="N78" s="7"/>
      <c r="Q78" s="10">
        <f>COUNTIF('LOCATION RESPONSES'!B:B,B51)
</f>
        <v>0</v>
      </c>
      <c r="R78" s="10">
        <f>COUNTIF('LOCATION RESPONSES'!B:B,B58)
</f>
        <v>0</v>
      </c>
    </row>
    <row r="79" ht="22.5" customHeight="1">
      <c r="A79" s="4">
        <v>46010.67522188657</v>
      </c>
      <c r="B79" s="6" t="s">
        <v>236</v>
      </c>
      <c r="C79" s="6">
        <v>8.011109134E9</v>
      </c>
      <c r="E79" s="9" t="s">
        <v>237</v>
      </c>
      <c r="F79" s="6" t="s">
        <v>22</v>
      </c>
      <c r="G79" s="6" t="s">
        <v>88</v>
      </c>
      <c r="H79" s="6" t="s">
        <v>18</v>
      </c>
      <c r="I79" s="6" t="s">
        <v>24</v>
      </c>
      <c r="J79" s="6" t="s">
        <v>79</v>
      </c>
      <c r="K79" s="6" t="s">
        <v>238</v>
      </c>
      <c r="L79" s="6" t="s">
        <v>85</v>
      </c>
      <c r="Q79" s="10">
        <f>COUNTIF('LOCATION RESPONSES'!B:B,B52)
</f>
        <v>0</v>
      </c>
      <c r="R79" s="10">
        <f>COUNTIF('LOCATION RESPONSES'!B:B,B59)
</f>
        <v>0</v>
      </c>
    </row>
    <row r="80" ht="22.5" customHeight="1">
      <c r="A80" s="4">
        <v>46010.67936618056</v>
      </c>
      <c r="B80" s="6" t="s">
        <v>239</v>
      </c>
      <c r="C80" s="6">
        <v>9.85965065E9</v>
      </c>
      <c r="E80" s="9" t="s">
        <v>240</v>
      </c>
      <c r="F80" s="6" t="s">
        <v>77</v>
      </c>
      <c r="G80" s="6" t="s">
        <v>88</v>
      </c>
      <c r="H80" s="6" t="s">
        <v>18</v>
      </c>
      <c r="I80" s="6" t="s">
        <v>24</v>
      </c>
      <c r="J80" s="6" t="s">
        <v>79</v>
      </c>
      <c r="K80" s="6" t="s">
        <v>40</v>
      </c>
      <c r="L80" s="6" t="s">
        <v>102</v>
      </c>
      <c r="M80" s="21">
        <v>46010.0</v>
      </c>
      <c r="N80" s="7"/>
      <c r="Q80" s="10">
        <f>COUNTIF('LOCATION RESPONSES'!B:B,B53)
</f>
        <v>0</v>
      </c>
      <c r="R80" s="10">
        <f>COUNTIF('LOCATION RESPONSES'!B:B,B60)
</f>
        <v>0</v>
      </c>
    </row>
    <row r="81" ht="22.5" customHeight="1">
      <c r="A81" s="4">
        <v>46010.6872463426</v>
      </c>
      <c r="B81" s="6" t="s">
        <v>241</v>
      </c>
      <c r="C81" s="6">
        <v>7.576059073E9</v>
      </c>
      <c r="E81" s="9" t="s">
        <v>242</v>
      </c>
      <c r="F81" s="6" t="s">
        <v>22</v>
      </c>
      <c r="G81" s="6" t="s">
        <v>88</v>
      </c>
      <c r="H81" s="6" t="s">
        <v>18</v>
      </c>
      <c r="I81" s="6" t="s">
        <v>24</v>
      </c>
      <c r="J81" s="6" t="s">
        <v>79</v>
      </c>
      <c r="K81" s="6" t="s">
        <v>28</v>
      </c>
      <c r="L81" s="6" t="s">
        <v>85</v>
      </c>
      <c r="Q81" s="10">
        <f>COUNTIF('LOCATION RESPONSES'!B:B,B54)
</f>
        <v>0</v>
      </c>
      <c r="R81" s="10">
        <f>COUNTIF('LOCATION RESPONSES'!B:B,B61)
</f>
        <v>0</v>
      </c>
    </row>
    <row r="82" ht="22.5" customHeight="1">
      <c r="A82" s="4">
        <v>46010.705755358795</v>
      </c>
      <c r="B82" s="6" t="s">
        <v>243</v>
      </c>
      <c r="C82" s="6">
        <v>9.678730189E9</v>
      </c>
      <c r="E82" s="9" t="s">
        <v>244</v>
      </c>
      <c r="F82" s="6" t="s">
        <v>22</v>
      </c>
      <c r="G82" s="6" t="s">
        <v>88</v>
      </c>
      <c r="H82" s="6" t="s">
        <v>18</v>
      </c>
      <c r="I82" s="6" t="s">
        <v>24</v>
      </c>
      <c r="J82" s="6" t="s">
        <v>79</v>
      </c>
      <c r="K82" s="6" t="s">
        <v>245</v>
      </c>
      <c r="L82" s="6" t="s">
        <v>85</v>
      </c>
      <c r="Q82" s="10">
        <f>COUNTIF('LOCATION RESPONSES'!B:B,B55)
</f>
        <v>0</v>
      </c>
      <c r="R82" s="10">
        <f>COUNTIF('LOCATION RESPONSES'!B:B,B62)
</f>
        <v>0</v>
      </c>
    </row>
    <row r="83" ht="22.5" customHeight="1">
      <c r="A83" s="4">
        <v>46010.71731152778</v>
      </c>
      <c r="B83" s="6" t="s">
        <v>246</v>
      </c>
      <c r="C83" s="6">
        <v>8.761994905E9</v>
      </c>
      <c r="E83" s="9" t="s">
        <v>247</v>
      </c>
      <c r="F83" s="6" t="s">
        <v>22</v>
      </c>
      <c r="G83" s="6" t="s">
        <v>88</v>
      </c>
      <c r="H83" s="6" t="s">
        <v>18</v>
      </c>
      <c r="I83" s="6" t="s">
        <v>24</v>
      </c>
      <c r="J83" s="6" t="s">
        <v>79</v>
      </c>
      <c r="K83" s="6" t="s">
        <v>28</v>
      </c>
      <c r="L83" s="6" t="s">
        <v>85</v>
      </c>
      <c r="Q83" s="10">
        <f>COUNTIF('LOCATION RESPONSES'!B:B,B56)
</f>
        <v>0</v>
      </c>
      <c r="R83" s="10">
        <f>COUNTIF('LOCATION RESPONSES'!B:B,B63)
</f>
        <v>0</v>
      </c>
    </row>
    <row r="84" ht="22.5" customHeight="1">
      <c r="A84" s="4">
        <v>46010.73357732639</v>
      </c>
      <c r="B84" s="6" t="s">
        <v>248</v>
      </c>
      <c r="C84" s="6" t="s">
        <v>88</v>
      </c>
      <c r="E84" s="9" t="s">
        <v>249</v>
      </c>
      <c r="F84" s="6" t="s">
        <v>77</v>
      </c>
      <c r="G84" s="6" t="s">
        <v>88</v>
      </c>
      <c r="H84" s="6" t="s">
        <v>18</v>
      </c>
      <c r="I84" s="6" t="s">
        <v>24</v>
      </c>
      <c r="J84" s="6" t="s">
        <v>79</v>
      </c>
      <c r="K84" s="6" t="s">
        <v>250</v>
      </c>
      <c r="L84" s="6" t="s">
        <v>85</v>
      </c>
      <c r="Q84" s="10">
        <f>COUNTIF('LOCATION RESPONSES'!B:B,B57)
</f>
        <v>0</v>
      </c>
      <c r="R84" s="10">
        <f>COUNTIF('LOCATION RESPONSES'!B:B,B64)
</f>
        <v>0</v>
      </c>
    </row>
    <row r="85" ht="22.5" customHeight="1">
      <c r="A85" s="4">
        <v>46011.58051487269</v>
      </c>
      <c r="B85" s="6" t="s">
        <v>251</v>
      </c>
      <c r="C85" s="6">
        <v>7.896853514E9</v>
      </c>
      <c r="E85" s="9" t="s">
        <v>252</v>
      </c>
      <c r="F85" s="6" t="s">
        <v>22</v>
      </c>
      <c r="G85" s="6" t="s">
        <v>88</v>
      </c>
      <c r="H85" s="6" t="s">
        <v>18</v>
      </c>
      <c r="I85" s="6" t="s">
        <v>24</v>
      </c>
      <c r="J85" s="6" t="s">
        <v>79</v>
      </c>
      <c r="K85" s="6" t="s">
        <v>238</v>
      </c>
      <c r="L85" s="6" t="s">
        <v>85</v>
      </c>
      <c r="Q85" s="10">
        <f>COUNTIF('LOCATION RESPONSES'!B:B,B58)
</f>
        <v>0</v>
      </c>
      <c r="R85" s="10">
        <f>COUNTIF('LOCATION RESPONSES'!B:B,B65)
</f>
        <v>0</v>
      </c>
    </row>
    <row r="86" ht="22.5" customHeight="1">
      <c r="A86" s="4">
        <v>46011.60436759259</v>
      </c>
      <c r="B86" s="6" t="s">
        <v>253</v>
      </c>
      <c r="C86" s="6">
        <v>8.812860121E9</v>
      </c>
      <c r="E86" s="9" t="s">
        <v>254</v>
      </c>
      <c r="F86" s="6" t="s">
        <v>22</v>
      </c>
      <c r="G86" s="6" t="s">
        <v>88</v>
      </c>
      <c r="H86" s="6" t="s">
        <v>18</v>
      </c>
      <c r="I86" s="6" t="s">
        <v>24</v>
      </c>
      <c r="J86" s="6" t="s">
        <v>79</v>
      </c>
      <c r="K86" s="6" t="s">
        <v>238</v>
      </c>
      <c r="L86" s="6" t="s">
        <v>85</v>
      </c>
      <c r="Q86" s="10">
        <f>COUNTIF('LOCATION RESPONSES'!B:B,B59)
</f>
        <v>0</v>
      </c>
      <c r="R86" s="10">
        <f>COUNTIF('LOCATION RESPONSES'!B:B,B66)
</f>
        <v>0</v>
      </c>
    </row>
    <row r="87" ht="22.5" customHeight="1">
      <c r="A87" s="4">
        <v>46011.62434274306</v>
      </c>
      <c r="B87" s="6" t="s">
        <v>255</v>
      </c>
      <c r="C87" s="6">
        <v>7.577861839E9</v>
      </c>
      <c r="E87" s="9" t="s">
        <v>256</v>
      </c>
      <c r="F87" s="6" t="s">
        <v>22</v>
      </c>
      <c r="G87" s="6" t="s">
        <v>257</v>
      </c>
      <c r="H87" s="6" t="s">
        <v>18</v>
      </c>
      <c r="I87" s="6" t="s">
        <v>24</v>
      </c>
      <c r="J87" s="6" t="s">
        <v>79</v>
      </c>
      <c r="K87" s="6" t="s">
        <v>258</v>
      </c>
      <c r="L87" s="6" t="s">
        <v>85</v>
      </c>
      <c r="Q87" s="10">
        <f>COUNTIF('LOCATION RESPONSES'!B:B,B60)
</f>
        <v>0</v>
      </c>
      <c r="R87" s="10">
        <f>COUNTIF('LOCATION RESPONSES'!B:B,B67)
</f>
        <v>0</v>
      </c>
    </row>
    <row r="88" ht="22.5" customHeight="1">
      <c r="A88" s="4">
        <v>46011.62759524306</v>
      </c>
      <c r="B88" s="6" t="s">
        <v>259</v>
      </c>
      <c r="C88" s="6">
        <v>9.859140489E9</v>
      </c>
      <c r="E88" s="9" t="s">
        <v>260</v>
      </c>
      <c r="F88" s="6" t="s">
        <v>22</v>
      </c>
      <c r="G88" s="6" t="s">
        <v>88</v>
      </c>
      <c r="H88" s="6" t="s">
        <v>18</v>
      </c>
      <c r="I88" s="6" t="s">
        <v>24</v>
      </c>
      <c r="J88" s="6" t="s">
        <v>79</v>
      </c>
      <c r="K88" s="6" t="s">
        <v>261</v>
      </c>
      <c r="L88" s="6" t="s">
        <v>85</v>
      </c>
      <c r="Q88" s="10">
        <f>COUNTIF('LOCATION RESPONSES'!B:B,B61)
</f>
        <v>0</v>
      </c>
      <c r="R88" s="10">
        <f>COUNTIF('LOCATION RESPONSES'!B:B,B68)
</f>
        <v>0</v>
      </c>
    </row>
    <row r="89" ht="22.5" customHeight="1">
      <c r="A89" s="4">
        <v>46011.63692576389</v>
      </c>
      <c r="B89" s="6" t="s">
        <v>262</v>
      </c>
      <c r="C89" s="6">
        <v>9.864042542E9</v>
      </c>
      <c r="E89" s="9" t="s">
        <v>263</v>
      </c>
      <c r="F89" s="6" t="s">
        <v>77</v>
      </c>
      <c r="G89" s="6" t="s">
        <v>88</v>
      </c>
      <c r="H89" s="6" t="s">
        <v>18</v>
      </c>
      <c r="I89" s="6" t="s">
        <v>24</v>
      </c>
      <c r="J89" s="6" t="s">
        <v>79</v>
      </c>
      <c r="K89" s="6" t="s">
        <v>40</v>
      </c>
      <c r="L89" s="6" t="s">
        <v>85</v>
      </c>
      <c r="Q89" s="10">
        <f>COUNTIF('LOCATION RESPONSES'!B:B,B62)
</f>
        <v>0</v>
      </c>
      <c r="R89" s="10">
        <f>COUNTIF('LOCATION RESPONSES'!B:B,B69)
</f>
        <v>0</v>
      </c>
    </row>
    <row r="90" ht="22.5" customHeight="1">
      <c r="A90" s="4">
        <v>46011.64812878473</v>
      </c>
      <c r="B90" s="6" t="s">
        <v>264</v>
      </c>
      <c r="C90" s="6">
        <v>9.707187531E9</v>
      </c>
      <c r="E90" s="9" t="s">
        <v>265</v>
      </c>
      <c r="F90" s="6" t="s">
        <v>22</v>
      </c>
      <c r="G90" s="6" t="s">
        <v>88</v>
      </c>
      <c r="H90" s="6" t="s">
        <v>18</v>
      </c>
      <c r="I90" s="6" t="s">
        <v>24</v>
      </c>
      <c r="J90" s="6" t="s">
        <v>79</v>
      </c>
      <c r="K90" s="6" t="s">
        <v>88</v>
      </c>
      <c r="L90" s="6" t="s">
        <v>85</v>
      </c>
      <c r="Q90" s="10">
        <f>COUNTIF('LOCATION RESPONSES'!B:B,B63)
</f>
        <v>0</v>
      </c>
      <c r="R90" s="10">
        <f>COUNTIF('LOCATION RESPONSES'!B:B,B70)
</f>
        <v>0</v>
      </c>
    </row>
    <row r="91" ht="22.5" customHeight="1">
      <c r="A91" s="4">
        <v>46011.710980625</v>
      </c>
      <c r="B91" s="6" t="s">
        <v>266</v>
      </c>
      <c r="C91" s="6">
        <v>9.395654215E9</v>
      </c>
      <c r="E91" s="9" t="s">
        <v>267</v>
      </c>
      <c r="F91" s="6" t="s">
        <v>22</v>
      </c>
      <c r="H91" s="6" t="s">
        <v>18</v>
      </c>
      <c r="I91" s="6" t="s">
        <v>24</v>
      </c>
      <c r="J91" s="6" t="s">
        <v>79</v>
      </c>
      <c r="K91" s="6" t="s">
        <v>268</v>
      </c>
      <c r="L91" s="6" t="s">
        <v>85</v>
      </c>
      <c r="Q91" s="10">
        <f>COUNTIF('LOCATION RESPONSES'!B:B,B64)
</f>
        <v>0</v>
      </c>
      <c r="R91" s="10">
        <f>COUNTIF('LOCATION RESPONSES'!B:B,B71)
</f>
        <v>0</v>
      </c>
    </row>
    <row r="92" ht="22.5" customHeight="1">
      <c r="A92" s="4">
        <v>46011.71413150463</v>
      </c>
      <c r="B92" s="6" t="s">
        <v>269</v>
      </c>
      <c r="C92" s="6">
        <v>9.864113393E9</v>
      </c>
      <c r="E92" s="9" t="s">
        <v>270</v>
      </c>
      <c r="F92" s="6" t="s">
        <v>22</v>
      </c>
      <c r="G92" s="6" t="s">
        <v>88</v>
      </c>
      <c r="H92" s="6" t="s">
        <v>18</v>
      </c>
      <c r="I92" s="6" t="s">
        <v>24</v>
      </c>
      <c r="J92" s="6" t="s">
        <v>79</v>
      </c>
      <c r="K92" s="6" t="s">
        <v>271</v>
      </c>
      <c r="L92" s="6" t="s">
        <v>85</v>
      </c>
      <c r="Q92" s="10">
        <f>COUNTIF('LOCATION RESPONSES'!B:B,B65)
</f>
        <v>0</v>
      </c>
      <c r="R92" s="10">
        <f>COUNTIF('LOCATION RESPONSES'!B:B,B72)
</f>
        <v>0</v>
      </c>
    </row>
    <row r="93" ht="22.5" customHeight="1">
      <c r="A93" s="4">
        <v>46011.72678803241</v>
      </c>
      <c r="B93" s="6" t="s">
        <v>272</v>
      </c>
      <c r="C93" s="6">
        <v>7.896255655E9</v>
      </c>
      <c r="E93" s="9" t="s">
        <v>273</v>
      </c>
      <c r="F93" s="6" t="s">
        <v>22</v>
      </c>
      <c r="G93" s="6" t="s">
        <v>88</v>
      </c>
      <c r="H93" s="6" t="s">
        <v>18</v>
      </c>
      <c r="I93" s="6" t="s">
        <v>24</v>
      </c>
      <c r="J93" s="6" t="s">
        <v>79</v>
      </c>
      <c r="K93" s="6" t="s">
        <v>274</v>
      </c>
      <c r="L93" s="6" t="s">
        <v>85</v>
      </c>
      <c r="Q93" s="10">
        <f>COUNTIF('LOCATION RESPONSES'!B:B,B66)
</f>
        <v>0</v>
      </c>
      <c r="R93" s="10">
        <f>COUNTIF('LOCATION RESPONSES'!B:B,B73)
</f>
        <v>0</v>
      </c>
    </row>
    <row r="94" ht="22.5" customHeight="1">
      <c r="A94" s="4">
        <v>46013.71469075231</v>
      </c>
      <c r="B94" s="6" t="s">
        <v>275</v>
      </c>
      <c r="C94" s="6">
        <v>8.471824935E9</v>
      </c>
      <c r="E94" s="9" t="s">
        <v>276</v>
      </c>
      <c r="F94" s="6" t="s">
        <v>77</v>
      </c>
      <c r="G94" s="6" t="s">
        <v>88</v>
      </c>
      <c r="H94" s="6" t="s">
        <v>18</v>
      </c>
      <c r="I94" s="6" t="s">
        <v>24</v>
      </c>
      <c r="J94" s="6" t="s">
        <v>79</v>
      </c>
      <c r="K94" s="6" t="s">
        <v>40</v>
      </c>
      <c r="L94" s="6" t="s">
        <v>85</v>
      </c>
      <c r="Q94" s="10">
        <f>COUNTIF('LOCATION RESPONSES'!B:B,B67)
</f>
        <v>0</v>
      </c>
      <c r="R94" s="10">
        <f>COUNTIF('LOCATION RESPONSES'!B:B,B74)
</f>
        <v>0</v>
      </c>
    </row>
    <row r="95" ht="22.5" customHeight="1">
      <c r="A95" s="4">
        <v>46013.716511446764</v>
      </c>
      <c r="B95" s="6" t="s">
        <v>277</v>
      </c>
      <c r="C95" s="6">
        <v>8.812857306E9</v>
      </c>
      <c r="E95" s="9" t="s">
        <v>278</v>
      </c>
      <c r="F95" s="6" t="s">
        <v>22</v>
      </c>
      <c r="G95" s="6" t="s">
        <v>88</v>
      </c>
      <c r="H95" s="6" t="s">
        <v>18</v>
      </c>
      <c r="I95" s="6" t="s">
        <v>24</v>
      </c>
      <c r="J95" s="6" t="s">
        <v>79</v>
      </c>
      <c r="K95" s="6" t="s">
        <v>238</v>
      </c>
      <c r="L95" s="6" t="s">
        <v>85</v>
      </c>
      <c r="Q95" s="10">
        <f>COUNTIF('LOCATION RESPONSES'!B:B,B68)
</f>
        <v>0</v>
      </c>
      <c r="R95" s="10">
        <f>COUNTIF('LOCATION RESPONSES'!B:B,B75)
</f>
        <v>0</v>
      </c>
    </row>
    <row r="96" ht="22.5" customHeight="1">
      <c r="A96" s="4">
        <v>46013.72289980324</v>
      </c>
      <c r="B96" s="6" t="s">
        <v>279</v>
      </c>
      <c r="C96" s="6">
        <v>9.101122184E9</v>
      </c>
      <c r="E96" s="9" t="s">
        <v>280</v>
      </c>
      <c r="F96" s="6" t="s">
        <v>22</v>
      </c>
      <c r="G96" s="6" t="s">
        <v>88</v>
      </c>
      <c r="H96" s="6" t="s">
        <v>18</v>
      </c>
      <c r="I96" s="6" t="s">
        <v>24</v>
      </c>
      <c r="J96" s="6" t="s">
        <v>79</v>
      </c>
      <c r="K96" s="6" t="s">
        <v>159</v>
      </c>
      <c r="L96" s="6" t="s">
        <v>85</v>
      </c>
      <c r="Q96" s="10">
        <f>COUNTIF('LOCATION RESPONSES'!B:B,B69)
</f>
        <v>0</v>
      </c>
      <c r="R96" s="10">
        <f>COUNTIF('LOCATION RESPONSES'!B:B,B76)
</f>
        <v>0</v>
      </c>
    </row>
    <row r="97" ht="22.5" customHeight="1">
      <c r="A97" s="4">
        <v>46013.729112789355</v>
      </c>
      <c r="B97" s="6" t="s">
        <v>281</v>
      </c>
      <c r="C97" s="6">
        <v>9.365232582E9</v>
      </c>
      <c r="E97" s="9" t="s">
        <v>282</v>
      </c>
      <c r="F97" s="6" t="s">
        <v>77</v>
      </c>
      <c r="G97" s="6" t="s">
        <v>88</v>
      </c>
      <c r="H97" s="6" t="s">
        <v>18</v>
      </c>
      <c r="I97" s="6" t="s">
        <v>24</v>
      </c>
      <c r="J97" s="6" t="s">
        <v>79</v>
      </c>
      <c r="K97" s="6" t="s">
        <v>40</v>
      </c>
      <c r="L97" s="6" t="s">
        <v>85</v>
      </c>
      <c r="Q97" s="10">
        <f>COUNTIF('LOCATION RESPONSES'!B:B,B70)
</f>
        <v>0</v>
      </c>
      <c r="R97" s="10">
        <f>COUNTIF('LOCATION RESPONSES'!B:B,B77)
</f>
        <v>0</v>
      </c>
    </row>
    <row r="98" ht="22.5" customHeight="1">
      <c r="A98" s="4">
        <v>46014.52627048611</v>
      </c>
      <c r="B98" s="6" t="s">
        <v>283</v>
      </c>
      <c r="C98" s="6">
        <v>9.95433117E9</v>
      </c>
      <c r="E98" s="9" t="s">
        <v>284</v>
      </c>
      <c r="F98" s="6" t="s">
        <v>22</v>
      </c>
      <c r="G98" s="6" t="s">
        <v>88</v>
      </c>
      <c r="H98" s="6" t="s">
        <v>18</v>
      </c>
      <c r="I98" s="6" t="s">
        <v>24</v>
      </c>
      <c r="J98" s="6" t="s">
        <v>79</v>
      </c>
      <c r="K98" s="6" t="s">
        <v>285</v>
      </c>
      <c r="L98" s="6" t="s">
        <v>85</v>
      </c>
      <c r="Q98" s="10">
        <f>COUNTIF('LOCATION RESPONSES'!B:B,B71)
</f>
        <v>0</v>
      </c>
      <c r="R98" s="10">
        <f>COUNTIF('LOCATION RESPONSES'!B:B,B78)
</f>
        <v>0</v>
      </c>
    </row>
    <row r="99" ht="22.5" hidden="1" customHeight="1">
      <c r="A99" s="4">
        <v>46014.53224340278</v>
      </c>
      <c r="B99" s="6" t="s">
        <v>286</v>
      </c>
      <c r="C99" s="6">
        <v>9.707829131E9</v>
      </c>
      <c r="E99" s="9" t="s">
        <v>287</v>
      </c>
      <c r="F99" s="6" t="s">
        <v>288</v>
      </c>
      <c r="H99" s="6" t="s">
        <v>18</v>
      </c>
      <c r="I99" s="6" t="s">
        <v>24</v>
      </c>
      <c r="J99" s="6" t="s">
        <v>68</v>
      </c>
      <c r="K99" s="6" t="s">
        <v>289</v>
      </c>
      <c r="L99" s="6" t="s">
        <v>102</v>
      </c>
      <c r="Q99" s="10"/>
      <c r="R99" s="10"/>
    </row>
    <row r="100" ht="22.5" customHeight="1">
      <c r="A100" s="4">
        <v>46014.53926765046</v>
      </c>
      <c r="B100" s="6" t="s">
        <v>290</v>
      </c>
      <c r="C100" s="6">
        <v>9.9547611E8</v>
      </c>
      <c r="E100" s="9" t="s">
        <v>291</v>
      </c>
      <c r="F100" s="6" t="s">
        <v>77</v>
      </c>
      <c r="G100" s="6" t="s">
        <v>88</v>
      </c>
      <c r="H100" s="6" t="s">
        <v>18</v>
      </c>
      <c r="I100" s="6" t="s">
        <v>24</v>
      </c>
      <c r="J100" s="6" t="s">
        <v>79</v>
      </c>
      <c r="K100" s="6" t="s">
        <v>204</v>
      </c>
      <c r="L100" s="6" t="s">
        <v>85</v>
      </c>
      <c r="Q100" s="10">
        <f>COUNTIF('LOCATION RESPONSES'!B:B,B73)
</f>
        <v>0</v>
      </c>
      <c r="R100" s="10">
        <f>COUNTIF('LOCATION RESPONSES'!B:B,B80)
</f>
        <v>0</v>
      </c>
    </row>
    <row r="101" ht="22.5" customHeight="1">
      <c r="A101" s="4">
        <v>46014.54574767361</v>
      </c>
      <c r="B101" s="6" t="s">
        <v>292</v>
      </c>
      <c r="C101" s="6">
        <v>8.13309093E9</v>
      </c>
      <c r="E101" s="9" t="s">
        <v>293</v>
      </c>
      <c r="F101" s="6" t="s">
        <v>77</v>
      </c>
      <c r="G101" s="6" t="s">
        <v>88</v>
      </c>
      <c r="H101" s="6" t="s">
        <v>18</v>
      </c>
      <c r="I101" s="6" t="s">
        <v>24</v>
      </c>
      <c r="J101" s="6" t="s">
        <v>79</v>
      </c>
      <c r="K101" s="6" t="s">
        <v>40</v>
      </c>
      <c r="L101" s="6" t="s">
        <v>85</v>
      </c>
      <c r="Q101" s="10">
        <f>COUNTIF('LOCATION RESPONSES'!B:B,B74)
</f>
        <v>0</v>
      </c>
      <c r="R101" s="10">
        <f>COUNTIF('LOCATION RESPONSES'!B:B,B81)
</f>
        <v>0</v>
      </c>
    </row>
    <row r="102" ht="22.5" hidden="1" customHeight="1">
      <c r="A102" s="4">
        <v>46014.54700849537</v>
      </c>
      <c r="B102" s="6" t="s">
        <v>294</v>
      </c>
      <c r="C102" s="6">
        <v>8.638735236E9</v>
      </c>
      <c r="E102" s="9" t="s">
        <v>295</v>
      </c>
      <c r="F102" s="6" t="s">
        <v>22</v>
      </c>
      <c r="H102" s="6" t="s">
        <v>18</v>
      </c>
      <c r="I102" s="6" t="s">
        <v>19</v>
      </c>
      <c r="J102" s="6" t="s">
        <v>68</v>
      </c>
      <c r="K102" s="6" t="s">
        <v>296</v>
      </c>
      <c r="Q102" s="10"/>
      <c r="R102" s="10"/>
    </row>
    <row r="103" ht="22.5" customHeight="1">
      <c r="A103" s="4">
        <v>46014.54896645833</v>
      </c>
      <c r="B103" s="6" t="s">
        <v>297</v>
      </c>
      <c r="C103" s="6">
        <v>9.435772426E9</v>
      </c>
      <c r="E103" s="9" t="s">
        <v>298</v>
      </c>
      <c r="F103" s="6" t="s">
        <v>22</v>
      </c>
      <c r="H103" s="6" t="s">
        <v>18</v>
      </c>
      <c r="I103" s="6" t="s">
        <v>24</v>
      </c>
      <c r="J103" s="6" t="s">
        <v>79</v>
      </c>
      <c r="K103" s="6" t="s">
        <v>28</v>
      </c>
      <c r="L103" s="6" t="s">
        <v>85</v>
      </c>
      <c r="Q103" s="10">
        <f>COUNTIF('LOCATION RESPONSES'!B:B,B76)
</f>
        <v>0</v>
      </c>
      <c r="R103" s="10">
        <f>COUNTIF('LOCATION RESPONSES'!B:B,B83)
</f>
        <v>0</v>
      </c>
    </row>
    <row r="104" ht="22.5" hidden="1" customHeight="1">
      <c r="A104" s="4">
        <v>46014.56778528936</v>
      </c>
      <c r="B104" s="6" t="s">
        <v>299</v>
      </c>
      <c r="C104" s="6">
        <v>9.508555554E9</v>
      </c>
      <c r="E104" s="9" t="s">
        <v>300</v>
      </c>
      <c r="F104" s="6" t="s">
        <v>301</v>
      </c>
      <c r="H104" s="6" t="s">
        <v>18</v>
      </c>
      <c r="I104" s="6" t="s">
        <v>19</v>
      </c>
      <c r="J104" s="6" t="s">
        <v>68</v>
      </c>
      <c r="K104" s="6" t="s">
        <v>302</v>
      </c>
      <c r="Q104" s="10"/>
      <c r="R104" s="10"/>
    </row>
    <row r="105" ht="22.5" customHeight="1">
      <c r="A105" s="4">
        <v>46014.5825405787</v>
      </c>
      <c r="B105" s="6" t="s">
        <v>303</v>
      </c>
      <c r="C105" s="6">
        <v>9.864025695E9</v>
      </c>
      <c r="E105" s="9" t="s">
        <v>304</v>
      </c>
      <c r="F105" s="6" t="s">
        <v>22</v>
      </c>
      <c r="G105" s="6" t="s">
        <v>88</v>
      </c>
      <c r="H105" s="6" t="s">
        <v>18</v>
      </c>
      <c r="I105" s="6" t="s">
        <v>24</v>
      </c>
      <c r="J105" s="6" t="s">
        <v>79</v>
      </c>
      <c r="K105" s="6" t="s">
        <v>305</v>
      </c>
      <c r="L105" s="6" t="s">
        <v>85</v>
      </c>
      <c r="Q105" s="10">
        <f>COUNTIF('LOCATION RESPONSES'!B:B,B78)
</f>
        <v>0</v>
      </c>
      <c r="R105" s="10">
        <f>COUNTIF('LOCATION RESPONSES'!B:B,B85)
</f>
        <v>1</v>
      </c>
    </row>
    <row r="106" ht="22.5" hidden="1" customHeight="1">
      <c r="A106" s="4">
        <v>46014.58915853009</v>
      </c>
      <c r="B106" s="6" t="s">
        <v>306</v>
      </c>
      <c r="C106" s="6">
        <v>9.508555554E9</v>
      </c>
      <c r="E106" s="9" t="s">
        <v>307</v>
      </c>
      <c r="F106" s="6" t="s">
        <v>301</v>
      </c>
      <c r="G106" s="6" t="s">
        <v>308</v>
      </c>
      <c r="H106" s="6" t="s">
        <v>18</v>
      </c>
      <c r="I106" s="6" t="s">
        <v>19</v>
      </c>
      <c r="J106" s="6" t="s">
        <v>68</v>
      </c>
      <c r="K106" s="6" t="s">
        <v>309</v>
      </c>
      <c r="L106" s="6" t="s">
        <v>310</v>
      </c>
      <c r="Q106" s="10"/>
      <c r="R106" s="10"/>
    </row>
    <row r="107" ht="22.5" hidden="1" customHeight="1">
      <c r="A107" s="4">
        <v>46014.59565142361</v>
      </c>
      <c r="B107" s="6" t="s">
        <v>311</v>
      </c>
      <c r="C107" s="6">
        <v>8.638581039E9</v>
      </c>
      <c r="E107" s="9" t="s">
        <v>312</v>
      </c>
      <c r="F107" s="6" t="s">
        <v>55</v>
      </c>
      <c r="H107" s="6" t="s">
        <v>18</v>
      </c>
      <c r="I107" s="6" t="s">
        <v>24</v>
      </c>
      <c r="J107" s="6" t="s">
        <v>68</v>
      </c>
      <c r="K107" s="6" t="s">
        <v>313</v>
      </c>
      <c r="L107" s="6" t="s">
        <v>81</v>
      </c>
      <c r="M107" s="21">
        <v>46025.0</v>
      </c>
      <c r="N107" s="7"/>
      <c r="Q107" s="10"/>
      <c r="R107" s="10"/>
    </row>
    <row r="108" ht="22.5" customHeight="1">
      <c r="A108" s="4">
        <v>46014.59901525463</v>
      </c>
      <c r="B108" s="6" t="s">
        <v>314</v>
      </c>
      <c r="C108" s="6">
        <v>7.89647063E9</v>
      </c>
      <c r="E108" s="9" t="s">
        <v>315</v>
      </c>
      <c r="F108" s="6" t="s">
        <v>22</v>
      </c>
      <c r="G108" s="6" t="s">
        <v>88</v>
      </c>
      <c r="H108" s="6" t="s">
        <v>18</v>
      </c>
      <c r="I108" s="6" t="s">
        <v>24</v>
      </c>
      <c r="J108" s="6" t="s">
        <v>79</v>
      </c>
      <c r="K108" s="6" t="s">
        <v>159</v>
      </c>
      <c r="Q108" s="10">
        <f>COUNTIF('LOCATION RESPONSES'!B:B,B81)
</f>
        <v>0</v>
      </c>
      <c r="R108" s="10">
        <f>COUNTIF('LOCATION RESPONSES'!B:B,B88)
</f>
        <v>0</v>
      </c>
    </row>
    <row r="109" ht="22.5" hidden="1" customHeight="1">
      <c r="A109" s="4">
        <v>46014.60086381945</v>
      </c>
      <c r="B109" s="6" t="s">
        <v>316</v>
      </c>
      <c r="C109" s="6">
        <v>7.578012841E9</v>
      </c>
      <c r="E109" s="9" t="s">
        <v>317</v>
      </c>
      <c r="F109" s="6" t="s">
        <v>288</v>
      </c>
      <c r="H109" s="6" t="s">
        <v>18</v>
      </c>
      <c r="I109" s="6" t="s">
        <v>19</v>
      </c>
      <c r="J109" s="6" t="s">
        <v>68</v>
      </c>
      <c r="K109" s="6" t="s">
        <v>318</v>
      </c>
      <c r="Q109" s="10"/>
      <c r="R109" s="10"/>
    </row>
    <row r="110" ht="22.5" customHeight="1">
      <c r="A110" s="4">
        <v>46014.61096041667</v>
      </c>
      <c r="B110" s="6" t="s">
        <v>319</v>
      </c>
      <c r="C110" s="6">
        <v>8.638611131E9</v>
      </c>
      <c r="E110" s="9" t="s">
        <v>320</v>
      </c>
      <c r="F110" s="6" t="s">
        <v>22</v>
      </c>
      <c r="G110" s="6" t="s">
        <v>88</v>
      </c>
      <c r="H110" s="6" t="s">
        <v>18</v>
      </c>
      <c r="I110" s="6" t="s">
        <v>24</v>
      </c>
      <c r="J110" s="6" t="s">
        <v>79</v>
      </c>
      <c r="K110" s="6" t="s">
        <v>261</v>
      </c>
      <c r="L110" s="6" t="s">
        <v>85</v>
      </c>
      <c r="Q110" s="10">
        <f>COUNTIF('LOCATION RESPONSES'!B:B,B83)
</f>
        <v>0</v>
      </c>
      <c r="R110" s="10">
        <f>COUNTIF('LOCATION RESPONSES'!B:B,B90)
</f>
        <v>0</v>
      </c>
    </row>
    <row r="111" ht="22.5" hidden="1" customHeight="1">
      <c r="A111" s="4">
        <v>46014.61735585648</v>
      </c>
      <c r="B111" s="6" t="s">
        <v>321</v>
      </c>
      <c r="C111" s="6">
        <v>9.707028308E9</v>
      </c>
      <c r="E111" s="9" t="s">
        <v>322</v>
      </c>
      <c r="F111" s="6" t="s">
        <v>22</v>
      </c>
      <c r="H111" s="6" t="s">
        <v>18</v>
      </c>
      <c r="I111" s="6" t="s">
        <v>19</v>
      </c>
      <c r="J111" s="6" t="s">
        <v>68</v>
      </c>
      <c r="K111" s="6" t="s">
        <v>323</v>
      </c>
      <c r="Q111" s="10"/>
      <c r="R111" s="10"/>
    </row>
    <row r="112" ht="22.5" customHeight="1">
      <c r="A112" s="4">
        <v>46014.624364884265</v>
      </c>
      <c r="B112" s="6" t="s">
        <v>324</v>
      </c>
      <c r="C112" s="6">
        <v>9.864210378E9</v>
      </c>
      <c r="E112" s="9" t="s">
        <v>325</v>
      </c>
      <c r="F112" s="6" t="s">
        <v>77</v>
      </c>
      <c r="G112" s="6" t="s">
        <v>88</v>
      </c>
      <c r="H112" s="6" t="s">
        <v>18</v>
      </c>
      <c r="I112" s="6" t="s">
        <v>24</v>
      </c>
      <c r="J112" s="6" t="s">
        <v>79</v>
      </c>
      <c r="K112" s="6" t="s">
        <v>40</v>
      </c>
      <c r="L112" s="6" t="s">
        <v>102</v>
      </c>
      <c r="M112" s="21">
        <v>46014.0</v>
      </c>
      <c r="N112" s="7"/>
      <c r="Q112" s="10">
        <f>COUNTIF('LOCATION RESPONSES'!B:B,B85)
</f>
        <v>1</v>
      </c>
      <c r="R112" s="10">
        <f>COUNTIF('LOCATION RESPONSES'!B:B,B92)
</f>
        <v>0</v>
      </c>
    </row>
    <row r="113" ht="22.5" customHeight="1">
      <c r="A113" s="4">
        <v>46014.63586550926</v>
      </c>
      <c r="B113" s="6" t="s">
        <v>326</v>
      </c>
      <c r="C113" s="6" t="s">
        <v>88</v>
      </c>
      <c r="E113" s="9" t="s">
        <v>327</v>
      </c>
      <c r="F113" s="6" t="s">
        <v>22</v>
      </c>
      <c r="H113" s="6" t="s">
        <v>18</v>
      </c>
      <c r="I113" s="6" t="s">
        <v>24</v>
      </c>
      <c r="J113" s="6" t="s">
        <v>79</v>
      </c>
      <c r="K113" s="6" t="s">
        <v>159</v>
      </c>
      <c r="L113" s="6" t="s">
        <v>85</v>
      </c>
      <c r="Q113" s="10">
        <f>COUNTIF('LOCATION RESPONSES'!B:B,B86)
</f>
        <v>0</v>
      </c>
      <c r="R113" s="10">
        <f>COUNTIF('LOCATION RESPONSES'!B:B,B93)
</f>
        <v>0</v>
      </c>
    </row>
    <row r="114" ht="22.5" hidden="1" customHeight="1">
      <c r="A114" s="4">
        <v>46014.63960972222</v>
      </c>
      <c r="B114" s="6" t="s">
        <v>328</v>
      </c>
      <c r="C114" s="6">
        <v>6.001075031E9</v>
      </c>
      <c r="E114" s="9" t="s">
        <v>329</v>
      </c>
      <c r="F114" s="6" t="s">
        <v>22</v>
      </c>
      <c r="H114" s="6" t="s">
        <v>18</v>
      </c>
      <c r="I114" s="6" t="s">
        <v>19</v>
      </c>
      <c r="J114" s="6" t="s">
        <v>68</v>
      </c>
      <c r="K114" s="6" t="s">
        <v>330</v>
      </c>
      <c r="Q114" s="10"/>
      <c r="R114" s="10"/>
    </row>
    <row r="115" ht="22.5" customHeight="1">
      <c r="A115" s="4">
        <v>46014.64003516204</v>
      </c>
      <c r="B115" s="6" t="s">
        <v>331</v>
      </c>
      <c r="C115" s="6">
        <v>9.435111487E9</v>
      </c>
      <c r="E115" s="9" t="s">
        <v>332</v>
      </c>
      <c r="F115" s="6" t="s">
        <v>22</v>
      </c>
      <c r="H115" s="6" t="s">
        <v>18</v>
      </c>
      <c r="I115" s="6" t="s">
        <v>24</v>
      </c>
      <c r="J115" s="6" t="s">
        <v>79</v>
      </c>
      <c r="K115" s="6" t="s">
        <v>238</v>
      </c>
      <c r="L115" s="6" t="s">
        <v>85</v>
      </c>
      <c r="Q115" s="10">
        <f>COUNTIF('LOCATION RESPONSES'!B:B,B88)
</f>
        <v>0</v>
      </c>
      <c r="R115" s="10">
        <f>COUNTIF('LOCATION RESPONSES'!B:B,B95)
</f>
        <v>0</v>
      </c>
    </row>
    <row r="116" ht="22.5" customHeight="1">
      <c r="A116" s="4">
        <v>46014.642469872684</v>
      </c>
      <c r="B116" s="6" t="s">
        <v>333</v>
      </c>
      <c r="C116" s="6" t="s">
        <v>88</v>
      </c>
      <c r="E116" s="9" t="s">
        <v>334</v>
      </c>
      <c r="F116" s="6" t="s">
        <v>77</v>
      </c>
      <c r="G116" s="6" t="s">
        <v>88</v>
      </c>
      <c r="H116" s="6" t="s">
        <v>18</v>
      </c>
      <c r="I116" s="6" t="s">
        <v>24</v>
      </c>
      <c r="J116" s="6" t="s">
        <v>79</v>
      </c>
      <c r="K116" s="6" t="s">
        <v>40</v>
      </c>
      <c r="L116" s="6" t="s">
        <v>102</v>
      </c>
      <c r="M116" s="21">
        <v>46014.0</v>
      </c>
      <c r="N116" s="7"/>
      <c r="Q116" s="10">
        <f>COUNTIF('LOCATION RESPONSES'!B:B,B89)
</f>
        <v>1</v>
      </c>
      <c r="R116" s="10">
        <f>COUNTIF('LOCATION RESPONSES'!B:B,B96)
</f>
        <v>0</v>
      </c>
    </row>
    <row r="117" ht="22.5" hidden="1" customHeight="1">
      <c r="A117" s="4">
        <v>46014.646508935184</v>
      </c>
      <c r="B117" s="6" t="s">
        <v>335</v>
      </c>
      <c r="C117" s="6">
        <v>7.577884004E9</v>
      </c>
      <c r="E117" s="9" t="s">
        <v>336</v>
      </c>
      <c r="F117" s="6" t="s">
        <v>22</v>
      </c>
      <c r="H117" s="6" t="s">
        <v>18</v>
      </c>
      <c r="I117" s="6" t="s">
        <v>19</v>
      </c>
      <c r="J117" s="6" t="s">
        <v>68</v>
      </c>
      <c r="K117" s="6" t="s">
        <v>337</v>
      </c>
      <c r="Q117" s="10"/>
      <c r="R117" s="10"/>
    </row>
    <row r="118" ht="22.5" hidden="1" customHeight="1">
      <c r="A118" s="4">
        <v>46014.64792231482</v>
      </c>
      <c r="B118" s="6" t="s">
        <v>338</v>
      </c>
      <c r="C118" s="6">
        <v>7.577884004E9</v>
      </c>
      <c r="E118" s="9" t="s">
        <v>339</v>
      </c>
      <c r="F118" s="6" t="s">
        <v>301</v>
      </c>
      <c r="H118" s="6" t="s">
        <v>18</v>
      </c>
      <c r="I118" s="6" t="s">
        <v>19</v>
      </c>
      <c r="J118" s="6" t="s">
        <v>68</v>
      </c>
      <c r="K118" s="6" t="s">
        <v>340</v>
      </c>
      <c r="Q118" s="10"/>
      <c r="R118" s="10"/>
    </row>
    <row r="119" ht="22.5" customHeight="1">
      <c r="A119" s="4">
        <v>46014.65513429398</v>
      </c>
      <c r="B119" s="6" t="s">
        <v>341</v>
      </c>
      <c r="C119" s="6">
        <v>7.086029271E9</v>
      </c>
      <c r="E119" s="9" t="s">
        <v>342</v>
      </c>
      <c r="F119" s="6" t="s">
        <v>22</v>
      </c>
      <c r="G119" s="6" t="s">
        <v>88</v>
      </c>
      <c r="H119" s="6" t="s">
        <v>18</v>
      </c>
      <c r="I119" s="6" t="s">
        <v>24</v>
      </c>
      <c r="J119" s="6" t="s">
        <v>79</v>
      </c>
      <c r="K119" s="6" t="s">
        <v>261</v>
      </c>
      <c r="L119" s="6" t="s">
        <v>85</v>
      </c>
      <c r="Q119" s="10">
        <f>COUNTIF('LOCATION RESPONSES'!B:B,B92)
</f>
        <v>0</v>
      </c>
      <c r="R119" s="10">
        <f>COUNTIF('LOCATION RESPONSES'!B:B,B99)
</f>
        <v>0</v>
      </c>
    </row>
    <row r="120" ht="22.5" hidden="1" customHeight="1">
      <c r="A120" s="4">
        <v>46014.678709687505</v>
      </c>
      <c r="B120" s="6" t="s">
        <v>343</v>
      </c>
      <c r="C120" s="6">
        <v>9.707102869E9</v>
      </c>
      <c r="E120" s="9" t="s">
        <v>344</v>
      </c>
      <c r="F120" s="6" t="s">
        <v>77</v>
      </c>
      <c r="H120" s="6" t="s">
        <v>18</v>
      </c>
      <c r="I120" s="6" t="s">
        <v>19</v>
      </c>
      <c r="J120" s="6" t="s">
        <v>68</v>
      </c>
      <c r="K120" s="6" t="s">
        <v>345</v>
      </c>
      <c r="Q120" s="10"/>
      <c r="R120" s="10"/>
    </row>
    <row r="121" ht="22.5" hidden="1" customHeight="1">
      <c r="A121" s="4">
        <v>46014.69976346065</v>
      </c>
      <c r="B121" s="6" t="s">
        <v>346</v>
      </c>
      <c r="C121" s="6">
        <v>8.761904044E9</v>
      </c>
      <c r="E121" s="9" t="s">
        <v>347</v>
      </c>
      <c r="F121" s="6" t="s">
        <v>348</v>
      </c>
      <c r="G121" s="6" t="s">
        <v>349</v>
      </c>
      <c r="H121" s="6" t="s">
        <v>18</v>
      </c>
      <c r="I121" s="6" t="s">
        <v>24</v>
      </c>
      <c r="J121" s="6" t="s">
        <v>68</v>
      </c>
      <c r="K121" s="6" t="s">
        <v>350</v>
      </c>
      <c r="Q121" s="10"/>
      <c r="R121" s="10"/>
    </row>
    <row r="122" ht="22.5" customHeight="1">
      <c r="A122" s="4">
        <v>46014.71520258102</v>
      </c>
      <c r="B122" s="6" t="s">
        <v>351</v>
      </c>
      <c r="C122" s="6">
        <v>8.472802577E9</v>
      </c>
      <c r="E122" s="9" t="s">
        <v>352</v>
      </c>
      <c r="F122" s="6" t="s">
        <v>22</v>
      </c>
      <c r="G122" s="6" t="s">
        <v>88</v>
      </c>
      <c r="H122" s="6" t="s">
        <v>18</v>
      </c>
      <c r="I122" s="6" t="s">
        <v>24</v>
      </c>
      <c r="J122" s="6" t="s">
        <v>79</v>
      </c>
      <c r="K122" s="6" t="s">
        <v>305</v>
      </c>
      <c r="L122" s="6" t="s">
        <v>85</v>
      </c>
      <c r="Q122" s="10">
        <f>COUNTIF('LOCATION RESPONSES'!B:B,B95)
</f>
        <v>0</v>
      </c>
      <c r="R122" s="10">
        <f>COUNTIF('LOCATION RESPONSES'!B:B,B102)
</f>
        <v>0</v>
      </c>
    </row>
    <row r="123" ht="22.5" customHeight="1">
      <c r="A123" s="4">
        <v>46014.72384402777</v>
      </c>
      <c r="B123" s="6" t="s">
        <v>353</v>
      </c>
      <c r="C123" s="6">
        <v>9.51052139E9</v>
      </c>
      <c r="E123" s="9" t="s">
        <v>354</v>
      </c>
      <c r="F123" s="6" t="s">
        <v>22</v>
      </c>
      <c r="G123" s="6" t="s">
        <v>88</v>
      </c>
      <c r="H123" s="6" t="s">
        <v>18</v>
      </c>
      <c r="I123" s="6" t="s">
        <v>24</v>
      </c>
      <c r="J123" s="6" t="s">
        <v>79</v>
      </c>
      <c r="K123" s="6" t="s">
        <v>355</v>
      </c>
      <c r="L123" s="6" t="s">
        <v>85</v>
      </c>
      <c r="Q123" s="10">
        <f>COUNTIF('LOCATION RESPONSES'!B:B,B96)
</f>
        <v>0</v>
      </c>
      <c r="R123" s="10">
        <f>COUNTIF('LOCATION RESPONSES'!B:B,B103)
</f>
        <v>0</v>
      </c>
    </row>
    <row r="124" ht="22.5" customHeight="1">
      <c r="A124" s="4">
        <v>46014.7351884838</v>
      </c>
      <c r="B124" s="6" t="s">
        <v>356</v>
      </c>
      <c r="C124" s="6">
        <v>8.822616148E9</v>
      </c>
      <c r="E124" s="9" t="s">
        <v>357</v>
      </c>
      <c r="F124" s="6" t="s">
        <v>22</v>
      </c>
      <c r="G124" s="6" t="s">
        <v>88</v>
      </c>
      <c r="H124" s="6" t="s">
        <v>18</v>
      </c>
      <c r="I124" s="6" t="s">
        <v>24</v>
      </c>
      <c r="J124" s="6" t="s">
        <v>79</v>
      </c>
      <c r="K124" s="6" t="s">
        <v>358</v>
      </c>
      <c r="L124" s="6" t="s">
        <v>85</v>
      </c>
      <c r="Q124" s="10">
        <f>COUNTIF('LOCATION RESPONSES'!B:B,B97)
</f>
        <v>1</v>
      </c>
      <c r="R124" s="10">
        <f>COUNTIF('LOCATION RESPONSES'!B:B,B104)
</f>
        <v>1</v>
      </c>
    </row>
    <row r="125" ht="22.5" customHeight="1">
      <c r="A125" s="4">
        <v>46014.74082850694</v>
      </c>
      <c r="B125" s="6" t="s">
        <v>359</v>
      </c>
      <c r="C125" s="6">
        <v>9.577672935E9</v>
      </c>
      <c r="E125" s="9" t="s">
        <v>360</v>
      </c>
      <c r="F125" s="6" t="s">
        <v>77</v>
      </c>
      <c r="G125" s="6" t="s">
        <v>88</v>
      </c>
      <c r="H125" s="6" t="s">
        <v>18</v>
      </c>
      <c r="I125" s="6" t="s">
        <v>24</v>
      </c>
      <c r="J125" s="6" t="s">
        <v>79</v>
      </c>
      <c r="K125" s="6" t="s">
        <v>40</v>
      </c>
      <c r="L125" s="6" t="s">
        <v>85</v>
      </c>
      <c r="Q125" s="10">
        <f>COUNTIF('LOCATION RESPONSES'!B:B,B98)
</f>
        <v>0</v>
      </c>
      <c r="R125" s="10">
        <f>COUNTIF('LOCATION RESPONSES'!B:B,B105)
</f>
        <v>1</v>
      </c>
    </row>
    <row r="126" ht="22.5" hidden="1" customHeight="1">
      <c r="A126" s="4">
        <v>46014.74886452546</v>
      </c>
      <c r="B126" s="6" t="s">
        <v>361</v>
      </c>
      <c r="C126" s="6">
        <v>9.864366616E9</v>
      </c>
      <c r="E126" s="9" t="s">
        <v>362</v>
      </c>
      <c r="F126" s="6" t="s">
        <v>22</v>
      </c>
      <c r="H126" s="6" t="s">
        <v>18</v>
      </c>
      <c r="I126" s="6" t="s">
        <v>19</v>
      </c>
      <c r="J126" s="6" t="s">
        <v>68</v>
      </c>
      <c r="K126" s="6" t="s">
        <v>363</v>
      </c>
      <c r="Q126" s="10"/>
      <c r="R126" s="10"/>
    </row>
    <row r="127" ht="22.5" hidden="1" customHeight="1">
      <c r="A127" s="4">
        <v>46014.75275318287</v>
      </c>
      <c r="B127" s="6" t="s">
        <v>364</v>
      </c>
      <c r="C127" s="6">
        <v>9.339170858E9</v>
      </c>
      <c r="E127" s="9" t="s">
        <v>365</v>
      </c>
      <c r="F127" s="6" t="s">
        <v>22</v>
      </c>
      <c r="H127" s="6" t="s">
        <v>18</v>
      </c>
      <c r="I127" s="6" t="s">
        <v>19</v>
      </c>
      <c r="J127" s="6" t="s">
        <v>68</v>
      </c>
      <c r="K127" s="6" t="s">
        <v>366</v>
      </c>
      <c r="Q127" s="10"/>
      <c r="R127" s="10"/>
    </row>
    <row r="128" ht="22.5" customHeight="1">
      <c r="A128" s="4">
        <v>46015.58406949074</v>
      </c>
      <c r="B128" s="6" t="s">
        <v>367</v>
      </c>
      <c r="C128" s="6">
        <v>9.127755496E9</v>
      </c>
      <c r="E128" s="9" t="s">
        <v>368</v>
      </c>
      <c r="F128" s="6" t="s">
        <v>22</v>
      </c>
      <c r="G128" s="6" t="s">
        <v>88</v>
      </c>
      <c r="H128" s="6" t="s">
        <v>18</v>
      </c>
      <c r="I128" s="6" t="s">
        <v>24</v>
      </c>
      <c r="J128" s="6" t="s">
        <v>79</v>
      </c>
      <c r="K128" s="6" t="s">
        <v>369</v>
      </c>
      <c r="L128" s="6" t="s">
        <v>85</v>
      </c>
      <c r="Q128" s="10">
        <f>COUNTIF('LOCATION RESPONSES'!B:B,B101)
</f>
        <v>0</v>
      </c>
      <c r="R128" s="10">
        <f>COUNTIF('LOCATION RESPONSES'!B:B,B108)
</f>
        <v>0</v>
      </c>
    </row>
    <row r="129" ht="22.5" customHeight="1">
      <c r="A129" s="4">
        <v>46015.613514490746</v>
      </c>
      <c r="B129" s="6" t="s">
        <v>370</v>
      </c>
      <c r="C129" s="6">
        <v>8.6380861814E10</v>
      </c>
      <c r="E129" s="9" t="s">
        <v>371</v>
      </c>
      <c r="F129" s="6" t="s">
        <v>27</v>
      </c>
      <c r="G129" s="6" t="s">
        <v>88</v>
      </c>
      <c r="H129" s="6" t="s">
        <v>18</v>
      </c>
      <c r="I129" s="6" t="s">
        <v>24</v>
      </c>
      <c r="J129" s="6" t="s">
        <v>79</v>
      </c>
      <c r="K129" s="6" t="s">
        <v>28</v>
      </c>
      <c r="L129" s="6" t="s">
        <v>310</v>
      </c>
      <c r="Q129" s="10">
        <f>COUNTIF('LOCATION RESPONSES'!B:B,B102)
</f>
        <v>0</v>
      </c>
      <c r="R129" s="10">
        <f>COUNTIF('LOCATION RESPONSES'!B:B,B109)
</f>
        <v>0</v>
      </c>
    </row>
    <row r="130" ht="22.5" customHeight="1">
      <c r="A130" s="4">
        <v>46015.62634019676</v>
      </c>
      <c r="B130" s="6" t="s">
        <v>372</v>
      </c>
      <c r="C130" s="6">
        <v>6.000175534E9</v>
      </c>
      <c r="E130" s="9" t="s">
        <v>373</v>
      </c>
      <c r="F130" s="6" t="s">
        <v>22</v>
      </c>
      <c r="G130" s="6" t="s">
        <v>374</v>
      </c>
      <c r="H130" s="6" t="s">
        <v>18</v>
      </c>
      <c r="I130" s="6" t="s">
        <v>24</v>
      </c>
      <c r="J130" s="6" t="s">
        <v>79</v>
      </c>
      <c r="K130" s="6" t="s">
        <v>375</v>
      </c>
      <c r="L130" s="6" t="s">
        <v>85</v>
      </c>
      <c r="Q130" s="10">
        <f>COUNTIF('LOCATION RESPONSES'!B:B,B103)
</f>
        <v>0</v>
      </c>
      <c r="R130" s="10">
        <f>COUNTIF('LOCATION RESPONSES'!B:B,B110)
</f>
        <v>0</v>
      </c>
    </row>
    <row r="131" ht="22.5" customHeight="1">
      <c r="A131" s="4">
        <v>46015.63930417824</v>
      </c>
      <c r="B131" s="6" t="s">
        <v>376</v>
      </c>
      <c r="C131" s="6">
        <v>9.706516721E9</v>
      </c>
      <c r="E131" s="9" t="s">
        <v>377</v>
      </c>
      <c r="F131" s="6" t="s">
        <v>22</v>
      </c>
      <c r="G131" s="6" t="s">
        <v>88</v>
      </c>
      <c r="H131" s="6" t="s">
        <v>18</v>
      </c>
      <c r="I131" s="6" t="s">
        <v>24</v>
      </c>
      <c r="J131" s="6" t="s">
        <v>79</v>
      </c>
      <c r="K131" s="6" t="s">
        <v>305</v>
      </c>
      <c r="L131" s="6" t="s">
        <v>85</v>
      </c>
      <c r="Q131" s="10">
        <f>COUNTIF('LOCATION RESPONSES'!B:B,B104)
</f>
        <v>1</v>
      </c>
      <c r="R131" s="10">
        <f>COUNTIF('LOCATION RESPONSES'!B:B,B111)
</f>
        <v>1</v>
      </c>
    </row>
    <row r="132" ht="22.5" customHeight="1">
      <c r="A132" s="4">
        <v>46015.65103084491</v>
      </c>
      <c r="B132" s="6" t="s">
        <v>378</v>
      </c>
      <c r="C132" s="6">
        <v>8.638648552E9</v>
      </c>
      <c r="E132" s="9" t="s">
        <v>379</v>
      </c>
      <c r="F132" s="6" t="s">
        <v>22</v>
      </c>
      <c r="G132" s="6" t="s">
        <v>88</v>
      </c>
      <c r="H132" s="6" t="s">
        <v>18</v>
      </c>
      <c r="I132" s="6" t="s">
        <v>24</v>
      </c>
      <c r="J132" s="6" t="s">
        <v>79</v>
      </c>
      <c r="K132" s="6" t="s">
        <v>380</v>
      </c>
      <c r="L132" s="6" t="s">
        <v>85</v>
      </c>
      <c r="Q132" s="10">
        <f>COUNTIF('LOCATION RESPONSES'!B:B,B105)
</f>
        <v>1</v>
      </c>
      <c r="R132" s="10">
        <f>COUNTIF('LOCATION RESPONSES'!B:B,B112)
</f>
        <v>1</v>
      </c>
    </row>
    <row r="133" ht="22.5" customHeight="1">
      <c r="A133" s="4">
        <v>46015.65586054398</v>
      </c>
      <c r="B133" s="6" t="s">
        <v>381</v>
      </c>
      <c r="C133" s="6">
        <v>9.864051102E9</v>
      </c>
      <c r="E133" s="9" t="s">
        <v>382</v>
      </c>
      <c r="F133" s="6" t="s">
        <v>22</v>
      </c>
      <c r="G133" s="6" t="s">
        <v>88</v>
      </c>
      <c r="H133" s="6" t="s">
        <v>18</v>
      </c>
      <c r="I133" s="6" t="s">
        <v>24</v>
      </c>
      <c r="J133" s="6" t="s">
        <v>79</v>
      </c>
      <c r="K133" s="6" t="s">
        <v>383</v>
      </c>
      <c r="L133" s="6" t="s">
        <v>85</v>
      </c>
      <c r="Q133" s="10">
        <f>COUNTIF('LOCATION RESPONSES'!B:B,B106)
</f>
        <v>0</v>
      </c>
      <c r="R133" s="10">
        <f>COUNTIF('LOCATION RESPONSES'!B:B,B113)
</f>
        <v>0</v>
      </c>
    </row>
    <row r="134" ht="22.5" customHeight="1">
      <c r="A134" s="4">
        <v>46015.68556744213</v>
      </c>
      <c r="B134" s="6" t="s">
        <v>384</v>
      </c>
      <c r="C134" s="6">
        <v>9.864015278E9</v>
      </c>
      <c r="E134" s="9" t="s">
        <v>385</v>
      </c>
      <c r="F134" s="6" t="s">
        <v>77</v>
      </c>
      <c r="H134" s="6" t="s">
        <v>18</v>
      </c>
      <c r="I134" s="6" t="s">
        <v>24</v>
      </c>
      <c r="J134" s="6" t="s">
        <v>79</v>
      </c>
      <c r="K134" s="6" t="s">
        <v>40</v>
      </c>
      <c r="L134" s="6" t="s">
        <v>85</v>
      </c>
      <c r="Q134" s="10">
        <f>COUNTIF('LOCATION RESPONSES'!B:B,B107)
</f>
        <v>1</v>
      </c>
      <c r="R134" s="10">
        <f>COUNTIF('LOCATION RESPONSES'!B:B,B114)
</f>
        <v>0</v>
      </c>
    </row>
    <row r="135" ht="22.5" customHeight="1">
      <c r="A135" s="4">
        <v>46015.693272847224</v>
      </c>
      <c r="B135" s="6" t="s">
        <v>386</v>
      </c>
      <c r="C135" s="6">
        <v>8.638495442E9</v>
      </c>
      <c r="E135" s="9" t="s">
        <v>387</v>
      </c>
      <c r="F135" s="6" t="s">
        <v>77</v>
      </c>
      <c r="H135" s="6" t="s">
        <v>18</v>
      </c>
      <c r="I135" s="6" t="s">
        <v>24</v>
      </c>
      <c r="J135" s="6" t="s">
        <v>79</v>
      </c>
      <c r="K135" s="6" t="s">
        <v>40</v>
      </c>
      <c r="L135" s="6" t="s">
        <v>85</v>
      </c>
      <c r="Q135" s="10">
        <f>COUNTIF('LOCATION RESPONSES'!B:B,B108)
</f>
        <v>0</v>
      </c>
      <c r="R135" s="10">
        <f>COUNTIF('LOCATION RESPONSES'!B:B,B115)
</f>
        <v>0</v>
      </c>
    </row>
    <row r="136" ht="22.5" customHeight="1">
      <c r="A136" s="4">
        <v>46015.706933946756</v>
      </c>
      <c r="B136" s="6" t="s">
        <v>388</v>
      </c>
      <c r="C136" s="6">
        <v>9.435117352E9</v>
      </c>
      <c r="E136" s="9" t="s">
        <v>389</v>
      </c>
      <c r="F136" s="6" t="s">
        <v>22</v>
      </c>
      <c r="G136" s="6" t="s">
        <v>88</v>
      </c>
      <c r="H136" s="6" t="s">
        <v>18</v>
      </c>
      <c r="I136" s="6" t="s">
        <v>24</v>
      </c>
      <c r="J136" s="6" t="s">
        <v>79</v>
      </c>
      <c r="K136" s="6" t="s">
        <v>28</v>
      </c>
      <c r="Q136" s="10">
        <f>COUNTIF('LOCATION RESPONSES'!B:B,B109)
</f>
        <v>0</v>
      </c>
      <c r="R136" s="10">
        <f>COUNTIF('LOCATION RESPONSES'!B:B,B116)
</f>
        <v>0</v>
      </c>
    </row>
    <row r="137" ht="22.5" customHeight="1">
      <c r="A137" s="4">
        <v>46015.71856841435</v>
      </c>
      <c r="B137" s="6" t="s">
        <v>390</v>
      </c>
      <c r="C137" s="6">
        <v>9.435195488E9</v>
      </c>
      <c r="E137" s="9" t="s">
        <v>391</v>
      </c>
      <c r="F137" s="6" t="s">
        <v>22</v>
      </c>
      <c r="G137" s="6" t="s">
        <v>88</v>
      </c>
      <c r="H137" s="6" t="s">
        <v>18</v>
      </c>
      <c r="I137" s="6" t="s">
        <v>24</v>
      </c>
      <c r="J137" s="6" t="s">
        <v>79</v>
      </c>
      <c r="K137" s="6" t="s">
        <v>261</v>
      </c>
      <c r="L137" s="6" t="s">
        <v>85</v>
      </c>
      <c r="Q137" s="10">
        <f>COUNTIF('LOCATION RESPONSES'!B:B,B110)
</f>
        <v>0</v>
      </c>
      <c r="R137" s="10">
        <f>COUNTIF('LOCATION RESPONSES'!B:B,B117)
</f>
        <v>0</v>
      </c>
    </row>
    <row r="138" ht="22.5" customHeight="1">
      <c r="A138" s="4">
        <v>46015.726043622686</v>
      </c>
      <c r="B138" s="6" t="s">
        <v>392</v>
      </c>
      <c r="C138" s="6">
        <v>9.864066225E9</v>
      </c>
      <c r="E138" s="9" t="s">
        <v>393</v>
      </c>
      <c r="F138" s="6" t="s">
        <v>22</v>
      </c>
      <c r="G138" s="6" t="s">
        <v>88</v>
      </c>
      <c r="H138" s="6" t="s">
        <v>18</v>
      </c>
      <c r="I138" s="6" t="s">
        <v>24</v>
      </c>
      <c r="J138" s="6" t="s">
        <v>79</v>
      </c>
      <c r="K138" s="6" t="s">
        <v>285</v>
      </c>
      <c r="L138" s="6" t="s">
        <v>85</v>
      </c>
      <c r="Q138" s="10">
        <f>COUNTIF('LOCATION RESPONSES'!B:B,B111)
</f>
        <v>1</v>
      </c>
      <c r="R138" s="10">
        <f>COUNTIF('LOCATION RESPONSES'!B:B,B118)
</f>
        <v>0</v>
      </c>
    </row>
    <row r="139" ht="22.5" customHeight="1">
      <c r="A139" s="4">
        <v>46015.74033527778</v>
      </c>
      <c r="B139" s="6" t="s">
        <v>394</v>
      </c>
      <c r="C139" s="6">
        <v>7.002834058E9</v>
      </c>
      <c r="E139" s="9" t="s">
        <v>395</v>
      </c>
      <c r="F139" s="6" t="s">
        <v>22</v>
      </c>
      <c r="G139" s="6" t="s">
        <v>88</v>
      </c>
      <c r="H139" s="6" t="s">
        <v>18</v>
      </c>
      <c r="I139" s="6" t="s">
        <v>24</v>
      </c>
      <c r="J139" s="6" t="s">
        <v>79</v>
      </c>
      <c r="K139" s="6" t="s">
        <v>396</v>
      </c>
      <c r="L139" s="6" t="s">
        <v>310</v>
      </c>
      <c r="Q139" s="10">
        <f>COUNTIF('LOCATION RESPONSES'!B:B,B112)
</f>
        <v>1</v>
      </c>
      <c r="R139" s="10">
        <f>COUNTIF('LOCATION RESPONSES'!B:B,B119)
</f>
        <v>0</v>
      </c>
    </row>
    <row r="140" ht="22.5" customHeight="1">
      <c r="A140" s="4">
        <v>46016.55436170139</v>
      </c>
      <c r="B140" s="6" t="s">
        <v>397</v>
      </c>
      <c r="C140" s="6">
        <v>9.435818155E9</v>
      </c>
      <c r="E140" s="9" t="s">
        <v>398</v>
      </c>
      <c r="F140" s="6" t="s">
        <v>77</v>
      </c>
      <c r="G140" s="6" t="s">
        <v>88</v>
      </c>
      <c r="H140" s="6" t="s">
        <v>18</v>
      </c>
      <c r="I140" s="6" t="s">
        <v>24</v>
      </c>
      <c r="J140" s="6" t="s">
        <v>79</v>
      </c>
      <c r="K140" s="6" t="s">
        <v>40</v>
      </c>
      <c r="L140" s="6" t="s">
        <v>85</v>
      </c>
      <c r="Q140" s="10">
        <f>COUNTIF('LOCATION RESPONSES'!B:B,B113)
</f>
        <v>0</v>
      </c>
      <c r="R140" s="10">
        <f>COUNTIF('LOCATION RESPONSES'!B:B,B120)
</f>
        <v>0</v>
      </c>
    </row>
    <row r="141" ht="22.5" customHeight="1">
      <c r="A141" s="4">
        <v>46016.56795166667</v>
      </c>
      <c r="B141" s="6" t="s">
        <v>399</v>
      </c>
      <c r="C141" s="6">
        <v>7.099920663E9</v>
      </c>
      <c r="E141" s="9" t="s">
        <v>400</v>
      </c>
      <c r="F141" s="6" t="s">
        <v>22</v>
      </c>
      <c r="H141" s="6" t="s">
        <v>18</v>
      </c>
      <c r="I141" s="6" t="s">
        <v>24</v>
      </c>
      <c r="J141" s="6" t="s">
        <v>79</v>
      </c>
      <c r="K141" s="6" t="s">
        <v>401</v>
      </c>
      <c r="L141" s="6" t="s">
        <v>85</v>
      </c>
      <c r="Q141" s="10">
        <f>COUNTIF('LOCATION RESPONSES'!B:B,B114)
</f>
        <v>0</v>
      </c>
      <c r="R141" s="10">
        <f>COUNTIF('LOCATION RESPONSES'!B:B,B121)
</f>
        <v>0</v>
      </c>
    </row>
    <row r="142" ht="22.5" customHeight="1">
      <c r="A142" s="4">
        <v>46016.58143902778</v>
      </c>
      <c r="B142" s="6" t="s">
        <v>402</v>
      </c>
      <c r="C142" s="6" t="s">
        <v>403</v>
      </c>
      <c r="E142" s="9" t="s">
        <v>404</v>
      </c>
      <c r="F142" s="6" t="s">
        <v>22</v>
      </c>
      <c r="G142" s="6" t="s">
        <v>88</v>
      </c>
      <c r="H142" s="6" t="s">
        <v>18</v>
      </c>
      <c r="I142" s="6" t="s">
        <v>24</v>
      </c>
      <c r="J142" s="6" t="s">
        <v>79</v>
      </c>
      <c r="K142" s="6" t="s">
        <v>28</v>
      </c>
      <c r="L142" s="6" t="s">
        <v>85</v>
      </c>
      <c r="Q142" s="10">
        <f>COUNTIF('LOCATION RESPONSES'!B:B,B115)
</f>
        <v>0</v>
      </c>
      <c r="R142" s="10">
        <f>COUNTIF('LOCATION RESPONSES'!B:B,B122)
</f>
        <v>1</v>
      </c>
    </row>
    <row r="143" ht="22.5" customHeight="1">
      <c r="A143" s="4">
        <v>46016.58509086806</v>
      </c>
      <c r="B143" s="6" t="s">
        <v>405</v>
      </c>
      <c r="C143" s="6">
        <v>6.003488452E9</v>
      </c>
      <c r="E143" s="9" t="s">
        <v>406</v>
      </c>
      <c r="F143" s="6" t="s">
        <v>77</v>
      </c>
      <c r="G143" s="6" t="s">
        <v>88</v>
      </c>
      <c r="H143" s="6" t="s">
        <v>18</v>
      </c>
      <c r="I143" s="6" t="s">
        <v>24</v>
      </c>
      <c r="J143" s="6" t="s">
        <v>79</v>
      </c>
      <c r="K143" s="6" t="s">
        <v>407</v>
      </c>
      <c r="L143" s="6" t="s">
        <v>85</v>
      </c>
      <c r="Q143" s="10">
        <f>COUNTIF('LOCATION RESPONSES'!B:B,B116)
</f>
        <v>0</v>
      </c>
      <c r="R143" s="10">
        <f>COUNTIF('LOCATION RESPONSES'!B:B,B123)
</f>
        <v>1</v>
      </c>
    </row>
    <row r="144" ht="22.5" customHeight="1">
      <c r="A144" s="4">
        <v>46016.588927916666</v>
      </c>
      <c r="B144" s="6" t="s">
        <v>408</v>
      </c>
      <c r="C144" s="6">
        <v>7.086727517E9</v>
      </c>
      <c r="E144" s="9" t="s">
        <v>409</v>
      </c>
      <c r="F144" s="6" t="s">
        <v>22</v>
      </c>
      <c r="G144" s="6" t="s">
        <v>88</v>
      </c>
      <c r="H144" s="6" t="s">
        <v>18</v>
      </c>
      <c r="I144" s="6" t="s">
        <v>24</v>
      </c>
      <c r="J144" s="6" t="s">
        <v>79</v>
      </c>
      <c r="K144" s="6" t="s">
        <v>212</v>
      </c>
      <c r="L144" s="6" t="s">
        <v>85</v>
      </c>
      <c r="Q144" s="10">
        <f>COUNTIF('LOCATION RESPONSES'!B:B,B117)
</f>
        <v>0</v>
      </c>
      <c r="R144" s="10">
        <f>COUNTIF('LOCATION RESPONSES'!B:B,B124)
</f>
        <v>1</v>
      </c>
    </row>
    <row r="145" ht="22.5" customHeight="1">
      <c r="A145" s="4">
        <v>46016.59102796296</v>
      </c>
      <c r="B145" s="6" t="s">
        <v>410</v>
      </c>
      <c r="C145" s="6">
        <v>7.002821599E9</v>
      </c>
      <c r="E145" s="9" t="s">
        <v>411</v>
      </c>
      <c r="F145" s="6" t="s">
        <v>77</v>
      </c>
      <c r="G145" s="6" t="s">
        <v>88</v>
      </c>
      <c r="H145" s="6" t="s">
        <v>18</v>
      </c>
      <c r="I145" s="6" t="s">
        <v>24</v>
      </c>
      <c r="J145" s="6" t="s">
        <v>79</v>
      </c>
      <c r="K145" s="6" t="s">
        <v>40</v>
      </c>
      <c r="L145" s="6" t="s">
        <v>85</v>
      </c>
      <c r="Q145" s="10">
        <f>COUNTIF('LOCATION RESPONSES'!B:B,B118)
</f>
        <v>0</v>
      </c>
      <c r="R145" s="10">
        <f>COUNTIF('LOCATION RESPONSES'!B:B,B125)
</f>
        <v>1</v>
      </c>
    </row>
    <row r="146" ht="22.5" customHeight="1">
      <c r="A146" s="4">
        <v>46016.60073244213</v>
      </c>
      <c r="B146" s="6" t="s">
        <v>412</v>
      </c>
      <c r="C146" s="6">
        <v>7.637944757E9</v>
      </c>
      <c r="E146" s="9" t="s">
        <v>413</v>
      </c>
      <c r="F146" s="6" t="s">
        <v>22</v>
      </c>
      <c r="G146" s="6" t="s">
        <v>88</v>
      </c>
      <c r="H146" s="6" t="s">
        <v>18</v>
      </c>
      <c r="I146" s="6" t="s">
        <v>24</v>
      </c>
      <c r="J146" s="6" t="s">
        <v>79</v>
      </c>
      <c r="K146" s="6" t="s">
        <v>159</v>
      </c>
      <c r="L146" s="6" t="s">
        <v>85</v>
      </c>
      <c r="Q146" s="10">
        <f>COUNTIF('LOCATION RESPONSES'!B:B,B119)
</f>
        <v>0</v>
      </c>
      <c r="R146" s="10">
        <f>COUNTIF('LOCATION RESPONSES'!B:B,B126)
</f>
        <v>0</v>
      </c>
    </row>
    <row r="147" ht="22.5" customHeight="1">
      <c r="A147" s="4">
        <v>46016.60615245371</v>
      </c>
      <c r="B147" s="6" t="s">
        <v>414</v>
      </c>
      <c r="C147" s="6">
        <v>9.706022763E9</v>
      </c>
      <c r="E147" s="9" t="s">
        <v>415</v>
      </c>
      <c r="F147" s="6" t="s">
        <v>77</v>
      </c>
      <c r="G147" s="6" t="s">
        <v>88</v>
      </c>
      <c r="H147" s="6" t="s">
        <v>18</v>
      </c>
      <c r="I147" s="6" t="s">
        <v>24</v>
      </c>
      <c r="J147" s="6" t="s">
        <v>79</v>
      </c>
      <c r="K147" s="6" t="s">
        <v>40</v>
      </c>
      <c r="L147" s="6" t="s">
        <v>85</v>
      </c>
      <c r="Q147" s="10">
        <f>COUNTIF('LOCATION RESPONSES'!B:B,B120)
</f>
        <v>0</v>
      </c>
      <c r="R147" s="10">
        <f>COUNTIF('LOCATION RESPONSES'!B:B,B127)
</f>
        <v>0</v>
      </c>
    </row>
    <row r="148" ht="22.5" customHeight="1">
      <c r="A148" s="4">
        <v>46016.624768587964</v>
      </c>
      <c r="B148" s="6" t="s">
        <v>416</v>
      </c>
      <c r="C148" s="6">
        <v>9.707723006E9</v>
      </c>
      <c r="E148" s="9" t="s">
        <v>417</v>
      </c>
      <c r="F148" s="6" t="s">
        <v>22</v>
      </c>
      <c r="G148" s="6" t="s">
        <v>88</v>
      </c>
      <c r="H148" s="6" t="s">
        <v>18</v>
      </c>
      <c r="I148" s="6" t="s">
        <v>24</v>
      </c>
      <c r="J148" s="6" t="s">
        <v>79</v>
      </c>
      <c r="K148" s="6" t="s">
        <v>418</v>
      </c>
      <c r="L148" s="6" t="s">
        <v>85</v>
      </c>
      <c r="Q148" s="10">
        <f>COUNTIF('LOCATION RESPONSES'!B:B,B121)
</f>
        <v>0</v>
      </c>
      <c r="R148" s="10">
        <f>COUNTIF('LOCATION RESPONSES'!B:B,B128)
</f>
        <v>0</v>
      </c>
    </row>
    <row r="149" ht="22.5" customHeight="1">
      <c r="A149" s="4">
        <v>46016.6295337037</v>
      </c>
      <c r="B149" s="6" t="s">
        <v>419</v>
      </c>
      <c r="C149" s="6">
        <v>9.854327362E9</v>
      </c>
      <c r="E149" s="9" t="s">
        <v>420</v>
      </c>
      <c r="F149" s="6" t="s">
        <v>22</v>
      </c>
      <c r="G149" s="6" t="s">
        <v>88</v>
      </c>
      <c r="H149" s="6" t="s">
        <v>18</v>
      </c>
      <c r="I149" s="6" t="s">
        <v>24</v>
      </c>
      <c r="J149" s="6" t="s">
        <v>79</v>
      </c>
      <c r="K149" s="6" t="s">
        <v>375</v>
      </c>
      <c r="L149" s="6" t="s">
        <v>85</v>
      </c>
      <c r="Q149" s="10">
        <f>COUNTIF('LOCATION RESPONSES'!B:B,B122)
</f>
        <v>1</v>
      </c>
      <c r="R149" s="10">
        <f>COUNTIF('LOCATION RESPONSES'!B:B,B129)
</f>
        <v>1</v>
      </c>
    </row>
    <row r="150" ht="22.5" customHeight="1">
      <c r="A150" s="4">
        <v>46016.67022678241</v>
      </c>
      <c r="B150" s="6" t="s">
        <v>421</v>
      </c>
      <c r="C150" s="6">
        <v>8.403077004E9</v>
      </c>
      <c r="E150" s="9" t="s">
        <v>422</v>
      </c>
      <c r="F150" s="6" t="s">
        <v>22</v>
      </c>
      <c r="G150" s="6" t="s">
        <v>88</v>
      </c>
      <c r="H150" s="6" t="s">
        <v>18</v>
      </c>
      <c r="I150" s="6" t="s">
        <v>24</v>
      </c>
      <c r="J150" s="6" t="s">
        <v>79</v>
      </c>
      <c r="K150" s="6" t="s">
        <v>168</v>
      </c>
      <c r="L150" s="6" t="s">
        <v>85</v>
      </c>
      <c r="Q150" s="10">
        <f>COUNTIF('LOCATION RESPONSES'!B:B,B123)
</f>
        <v>1</v>
      </c>
      <c r="R150" s="10">
        <f>COUNTIF('LOCATION RESPONSES'!B:B,B130)
</f>
        <v>0</v>
      </c>
    </row>
    <row r="151" ht="22.5" customHeight="1">
      <c r="A151" s="4">
        <v>46016.748472349536</v>
      </c>
      <c r="B151" s="6" t="s">
        <v>423</v>
      </c>
      <c r="C151" s="6">
        <v>6.91350631E9</v>
      </c>
      <c r="E151" s="9" t="s">
        <v>424</v>
      </c>
      <c r="F151" s="6" t="s">
        <v>22</v>
      </c>
      <c r="G151" s="6" t="s">
        <v>88</v>
      </c>
      <c r="H151" s="6" t="s">
        <v>18</v>
      </c>
      <c r="I151" s="6" t="s">
        <v>24</v>
      </c>
      <c r="J151" s="6" t="s">
        <v>79</v>
      </c>
      <c r="K151" s="6" t="s">
        <v>425</v>
      </c>
      <c r="L151" s="6" t="s">
        <v>85</v>
      </c>
      <c r="Q151" s="10">
        <f>COUNTIF('LOCATION RESPONSES'!B:B,B124)
</f>
        <v>1</v>
      </c>
      <c r="R151" s="10">
        <f>COUNTIF('LOCATION RESPONSES'!B:B,B131)
</f>
        <v>0</v>
      </c>
    </row>
    <row r="152" ht="22.5" customHeight="1">
      <c r="A152" s="4">
        <v>46017.713099375</v>
      </c>
      <c r="B152" s="6" t="s">
        <v>426</v>
      </c>
      <c r="C152" s="6">
        <v>7.00207029E9</v>
      </c>
      <c r="E152" s="9" t="s">
        <v>427</v>
      </c>
      <c r="F152" s="6" t="s">
        <v>22</v>
      </c>
      <c r="H152" s="6" t="s">
        <v>18</v>
      </c>
      <c r="I152" s="6" t="s">
        <v>19</v>
      </c>
      <c r="J152" s="6" t="s">
        <v>79</v>
      </c>
      <c r="K152" s="6" t="s">
        <v>428</v>
      </c>
      <c r="L152" s="6" t="s">
        <v>85</v>
      </c>
      <c r="Q152" s="22">
        <f>COUNTIF('LOCATION RESPONSES'!B:B,B125)
</f>
        <v>1</v>
      </c>
      <c r="R152" s="22">
        <f>COUNTIF('LOCATION RESPONSES'!B:B,B132)
</f>
        <v>0</v>
      </c>
    </row>
    <row r="153" ht="22.5" customHeight="1">
      <c r="A153" s="4">
        <v>46018.49674988426</v>
      </c>
      <c r="B153" s="6" t="s">
        <v>429</v>
      </c>
      <c r="C153" s="6" t="s">
        <v>430</v>
      </c>
      <c r="E153" s="9" t="s">
        <v>431</v>
      </c>
      <c r="F153" s="6" t="s">
        <v>77</v>
      </c>
      <c r="G153" s="6" t="s">
        <v>88</v>
      </c>
      <c r="H153" s="6" t="s">
        <v>18</v>
      </c>
      <c r="I153" s="6" t="s">
        <v>24</v>
      </c>
      <c r="J153" s="6" t="s">
        <v>79</v>
      </c>
      <c r="K153" s="6" t="s">
        <v>40</v>
      </c>
      <c r="L153" s="6" t="s">
        <v>85</v>
      </c>
      <c r="Q153" s="22">
        <f>COUNTIF('LOCATION RESPONSES'!B:B,B126)
</f>
        <v>0</v>
      </c>
      <c r="R153" s="22">
        <f>COUNTIF('LOCATION RESPONSES'!B:B,B133)
</f>
        <v>0</v>
      </c>
    </row>
    <row r="154" ht="22.5" customHeight="1">
      <c r="A154" s="4">
        <v>46018.5031196875</v>
      </c>
      <c r="B154" s="6" t="s">
        <v>432</v>
      </c>
      <c r="C154" s="6" t="s">
        <v>433</v>
      </c>
      <c r="E154" s="9" t="s">
        <v>434</v>
      </c>
      <c r="F154" s="6" t="s">
        <v>22</v>
      </c>
      <c r="G154" s="6" t="s">
        <v>88</v>
      </c>
      <c r="H154" s="6" t="s">
        <v>18</v>
      </c>
      <c r="I154" s="6" t="s">
        <v>24</v>
      </c>
      <c r="J154" s="6" t="s">
        <v>79</v>
      </c>
      <c r="K154" s="6" t="s">
        <v>28</v>
      </c>
      <c r="L154" s="6" t="s">
        <v>85</v>
      </c>
      <c r="Q154" s="22">
        <f>COUNTIF('LOCATION RESPONSES'!B:B,B127)
</f>
        <v>0</v>
      </c>
      <c r="R154" s="22">
        <f>COUNTIF('LOCATION RESPONSES'!B:B,B134)
</f>
        <v>1</v>
      </c>
    </row>
    <row r="155" ht="22.5" customHeight="1">
      <c r="A155" s="4">
        <v>46018.50964181713</v>
      </c>
      <c r="B155" s="6" t="s">
        <v>435</v>
      </c>
      <c r="C155" s="6">
        <v>9.854055512E9</v>
      </c>
      <c r="E155" s="9" t="s">
        <v>436</v>
      </c>
      <c r="F155" s="6" t="s">
        <v>22</v>
      </c>
      <c r="G155" s="6" t="s">
        <v>437</v>
      </c>
      <c r="H155" s="6" t="s">
        <v>18</v>
      </c>
      <c r="I155" s="6" t="s">
        <v>24</v>
      </c>
      <c r="J155" s="6" t="s">
        <v>79</v>
      </c>
      <c r="K155" s="6" t="s">
        <v>159</v>
      </c>
      <c r="L155" s="6" t="s">
        <v>85</v>
      </c>
      <c r="Q155" s="22">
        <f>COUNTIF('LOCATION RESPONSES'!B:B,B128)
</f>
        <v>0</v>
      </c>
      <c r="R155" s="22">
        <f>COUNTIF('LOCATION RESPONSES'!B:B,B135)
</f>
        <v>1</v>
      </c>
    </row>
    <row r="156" ht="22.5" customHeight="1">
      <c r="A156" s="4">
        <v>46018.5126075</v>
      </c>
      <c r="B156" s="6" t="s">
        <v>438</v>
      </c>
      <c r="C156" s="6">
        <v>9.706149216E9</v>
      </c>
      <c r="E156" s="9" t="s">
        <v>439</v>
      </c>
      <c r="F156" s="6" t="s">
        <v>22</v>
      </c>
      <c r="H156" s="6" t="s">
        <v>18</v>
      </c>
      <c r="I156" s="6" t="s">
        <v>24</v>
      </c>
      <c r="J156" s="6" t="s">
        <v>79</v>
      </c>
      <c r="K156" s="6" t="s">
        <v>440</v>
      </c>
      <c r="L156" s="6" t="s">
        <v>85</v>
      </c>
      <c r="Q156" s="22">
        <f>COUNTIF('LOCATION RESPONSES'!B:B,B129)
</f>
        <v>1</v>
      </c>
      <c r="R156" s="22">
        <f>COUNTIF('LOCATION RESPONSES'!B:B,B136)
</f>
        <v>0</v>
      </c>
    </row>
    <row r="157" ht="22.5" customHeight="1">
      <c r="A157" s="4">
        <v>46018.52505487268</v>
      </c>
      <c r="B157" s="6" t="s">
        <v>441</v>
      </c>
      <c r="C157" s="6">
        <v>8.72400744E9</v>
      </c>
      <c r="E157" s="9" t="s">
        <v>442</v>
      </c>
      <c r="F157" s="6" t="s">
        <v>22</v>
      </c>
      <c r="G157" s="6" t="s">
        <v>88</v>
      </c>
      <c r="H157" s="6" t="s">
        <v>18</v>
      </c>
      <c r="I157" s="6" t="s">
        <v>24</v>
      </c>
      <c r="J157" s="6" t="s">
        <v>79</v>
      </c>
      <c r="K157" s="6" t="s">
        <v>40</v>
      </c>
      <c r="L157" s="6" t="s">
        <v>85</v>
      </c>
      <c r="Q157" s="22">
        <f>COUNTIF('LOCATION RESPONSES'!B:B,B130)
</f>
        <v>0</v>
      </c>
      <c r="R157" s="22">
        <f>COUNTIF('LOCATION RESPONSES'!B:B,B137)
</f>
        <v>1</v>
      </c>
    </row>
    <row r="158" ht="22.5" customHeight="1">
      <c r="A158" s="4">
        <v>46018.5399075</v>
      </c>
      <c r="B158" s="6" t="s">
        <v>443</v>
      </c>
      <c r="C158" s="6">
        <v>9.864305956E9</v>
      </c>
      <c r="E158" s="9" t="s">
        <v>444</v>
      </c>
      <c r="F158" s="6" t="s">
        <v>22</v>
      </c>
      <c r="G158" s="6" t="s">
        <v>88</v>
      </c>
      <c r="H158" s="6" t="s">
        <v>18</v>
      </c>
      <c r="I158" s="6" t="s">
        <v>24</v>
      </c>
      <c r="J158" s="6" t="s">
        <v>79</v>
      </c>
      <c r="K158" s="6" t="s">
        <v>445</v>
      </c>
      <c r="L158" s="6" t="s">
        <v>85</v>
      </c>
      <c r="Q158" s="22">
        <f>COUNTIF('LOCATION RESPONSES'!B:B,B131)
</f>
        <v>0</v>
      </c>
      <c r="R158" s="22">
        <f>COUNTIF('LOCATION RESPONSES'!B:B,B138)
</f>
        <v>1</v>
      </c>
    </row>
    <row r="159" ht="22.5" customHeight="1">
      <c r="A159" s="4">
        <v>46018.54327415509</v>
      </c>
      <c r="B159" s="6" t="s">
        <v>446</v>
      </c>
      <c r="C159" s="6">
        <v>9.864950623E9</v>
      </c>
      <c r="E159" s="9" t="s">
        <v>447</v>
      </c>
      <c r="F159" s="6" t="s">
        <v>22</v>
      </c>
      <c r="G159" s="6" t="s">
        <v>448</v>
      </c>
      <c r="H159" s="6" t="s">
        <v>18</v>
      </c>
      <c r="I159" s="6" t="s">
        <v>24</v>
      </c>
      <c r="J159" s="6" t="s">
        <v>79</v>
      </c>
      <c r="K159" s="6" t="s">
        <v>449</v>
      </c>
      <c r="L159" s="6" t="s">
        <v>85</v>
      </c>
      <c r="Q159" s="22">
        <f>COUNTIF('LOCATION RESPONSES'!B:B,B132)
</f>
        <v>0</v>
      </c>
      <c r="R159" s="22">
        <f>COUNTIF('LOCATION RESPONSES'!B:B,B139)
</f>
        <v>1</v>
      </c>
    </row>
    <row r="160" ht="22.5" customHeight="1">
      <c r="A160" s="4">
        <v>46018.54745358796</v>
      </c>
      <c r="B160" s="6" t="s">
        <v>450</v>
      </c>
      <c r="C160" s="6" t="s">
        <v>451</v>
      </c>
      <c r="E160" s="9" t="s">
        <v>452</v>
      </c>
      <c r="F160" s="6" t="s">
        <v>22</v>
      </c>
      <c r="G160" s="6" t="s">
        <v>28</v>
      </c>
      <c r="H160" s="6" t="s">
        <v>18</v>
      </c>
      <c r="I160" s="6" t="s">
        <v>24</v>
      </c>
      <c r="J160" s="6" t="s">
        <v>79</v>
      </c>
      <c r="K160" s="6" t="s">
        <v>453</v>
      </c>
      <c r="L160" s="6" t="s">
        <v>85</v>
      </c>
      <c r="Q160" s="22">
        <f>COUNTIF('LOCATION RESPONSES'!B:B,B133)
</f>
        <v>0</v>
      </c>
      <c r="R160" s="22">
        <f>COUNTIF('LOCATION RESPONSES'!B:B,B140)
</f>
        <v>1</v>
      </c>
    </row>
    <row r="161" ht="22.5" customHeight="1">
      <c r="A161" s="4">
        <v>46018.55118934027</v>
      </c>
      <c r="B161" s="6" t="s">
        <v>454</v>
      </c>
      <c r="C161" s="6">
        <v>9.085593928E9</v>
      </c>
      <c r="E161" s="9" t="s">
        <v>455</v>
      </c>
      <c r="F161" s="6" t="s">
        <v>22</v>
      </c>
      <c r="H161" s="6" t="s">
        <v>18</v>
      </c>
      <c r="I161" s="6" t="s">
        <v>24</v>
      </c>
      <c r="J161" s="6" t="s">
        <v>79</v>
      </c>
      <c r="K161" s="6" t="s">
        <v>456</v>
      </c>
      <c r="L161" s="6" t="s">
        <v>85</v>
      </c>
      <c r="Q161" s="22">
        <f>COUNTIF('LOCATION RESPONSES'!B:B,B134)
</f>
        <v>1</v>
      </c>
      <c r="R161" s="22">
        <f>COUNTIF('LOCATION RESPONSES'!B:B,B141)
</f>
        <v>0</v>
      </c>
    </row>
    <row r="162" ht="22.5" customHeight="1">
      <c r="A162" s="4">
        <v>46018.5535727199</v>
      </c>
      <c r="B162" s="6" t="s">
        <v>457</v>
      </c>
      <c r="C162" s="6">
        <v>9.101270429E9</v>
      </c>
      <c r="E162" s="9" t="s">
        <v>458</v>
      </c>
      <c r="F162" s="6" t="s">
        <v>22</v>
      </c>
      <c r="G162" s="6" t="s">
        <v>88</v>
      </c>
      <c r="H162" s="6" t="s">
        <v>18</v>
      </c>
      <c r="I162" s="6" t="s">
        <v>24</v>
      </c>
      <c r="J162" s="6" t="s">
        <v>79</v>
      </c>
      <c r="K162" s="6" t="s">
        <v>453</v>
      </c>
      <c r="L162" s="6" t="s">
        <v>102</v>
      </c>
      <c r="M162" s="21">
        <v>46018.0</v>
      </c>
      <c r="N162" s="7"/>
      <c r="Q162" s="22">
        <f>COUNTIF('LOCATION RESPONSES'!B:B,B135)
</f>
        <v>1</v>
      </c>
      <c r="R162" s="22">
        <f>COUNTIF('LOCATION RESPONSES'!B:B,B142)
</f>
        <v>1</v>
      </c>
    </row>
    <row r="163" ht="22.5" customHeight="1">
      <c r="A163" s="4">
        <v>46018.55900340278</v>
      </c>
      <c r="B163" s="6" t="s">
        <v>459</v>
      </c>
      <c r="C163" s="6">
        <v>8.974007311E9</v>
      </c>
      <c r="E163" s="9" t="s">
        <v>460</v>
      </c>
      <c r="F163" s="6" t="s">
        <v>77</v>
      </c>
      <c r="H163" s="6" t="s">
        <v>18</v>
      </c>
      <c r="I163" s="6" t="s">
        <v>24</v>
      </c>
      <c r="J163" s="6" t="s">
        <v>79</v>
      </c>
      <c r="K163" s="6" t="s">
        <v>453</v>
      </c>
      <c r="L163" s="6" t="s">
        <v>102</v>
      </c>
      <c r="M163" s="21">
        <v>46018.0</v>
      </c>
      <c r="N163" s="7"/>
      <c r="Q163" s="22">
        <f>COUNTIF('LOCATION RESPONSES'!B:B,B136)
</f>
        <v>0</v>
      </c>
      <c r="R163" s="22">
        <f>COUNTIF('LOCATION RESPONSES'!B:B,B143)
</f>
        <v>1</v>
      </c>
    </row>
    <row r="164" ht="22.5" customHeight="1">
      <c r="A164" s="4">
        <v>46018.56406618055</v>
      </c>
      <c r="B164" s="6" t="s">
        <v>461</v>
      </c>
      <c r="C164" s="6" t="s">
        <v>462</v>
      </c>
      <c r="E164" s="9" t="s">
        <v>463</v>
      </c>
      <c r="F164" s="6" t="s">
        <v>22</v>
      </c>
      <c r="H164" s="6" t="s">
        <v>18</v>
      </c>
      <c r="I164" s="6" t="s">
        <v>24</v>
      </c>
      <c r="J164" s="6" t="s">
        <v>79</v>
      </c>
      <c r="K164" s="6" t="s">
        <v>159</v>
      </c>
      <c r="Q164" s="22">
        <f>COUNTIF('LOCATION RESPONSES'!B:B,B137)
</f>
        <v>1</v>
      </c>
      <c r="R164" s="22">
        <f>COUNTIF('LOCATION RESPONSES'!B:B,B144)
</f>
        <v>0</v>
      </c>
    </row>
    <row r="165" ht="22.5" customHeight="1">
      <c r="A165" s="4">
        <v>46018.575079409726</v>
      </c>
      <c r="B165" s="6" t="s">
        <v>464</v>
      </c>
      <c r="C165" s="6">
        <v>8.811047017E9</v>
      </c>
      <c r="E165" s="9" t="s">
        <v>465</v>
      </c>
      <c r="F165" s="6" t="s">
        <v>22</v>
      </c>
      <c r="G165" s="6" t="s">
        <v>88</v>
      </c>
      <c r="H165" s="6" t="s">
        <v>18</v>
      </c>
      <c r="I165" s="6" t="s">
        <v>24</v>
      </c>
      <c r="J165" s="6" t="s">
        <v>79</v>
      </c>
      <c r="K165" s="6" t="s">
        <v>466</v>
      </c>
      <c r="L165" s="6" t="s">
        <v>85</v>
      </c>
      <c r="Q165" s="22">
        <f>COUNTIF('LOCATION RESPONSES'!B:B,B138)
</f>
        <v>1</v>
      </c>
      <c r="R165" s="22">
        <f>COUNTIF('LOCATION RESPONSES'!B:B,B145)
</f>
        <v>1</v>
      </c>
    </row>
    <row r="166" ht="22.5" customHeight="1">
      <c r="A166" s="4">
        <v>46018.58178076389</v>
      </c>
      <c r="B166" s="6" t="s">
        <v>467</v>
      </c>
      <c r="C166" s="6">
        <v>8.638727719E9</v>
      </c>
      <c r="E166" s="9" t="s">
        <v>468</v>
      </c>
      <c r="F166" s="6" t="s">
        <v>22</v>
      </c>
      <c r="G166" s="6" t="s">
        <v>28</v>
      </c>
      <c r="H166" s="6" t="s">
        <v>18</v>
      </c>
      <c r="I166" s="6" t="s">
        <v>24</v>
      </c>
      <c r="J166" s="6" t="s">
        <v>79</v>
      </c>
      <c r="K166" s="6" t="s">
        <v>159</v>
      </c>
      <c r="L166" s="6" t="s">
        <v>85</v>
      </c>
      <c r="Q166" s="22">
        <f>COUNTIF('LOCATION RESPONSES'!B:B,B139)
</f>
        <v>1</v>
      </c>
      <c r="R166" s="22">
        <f>COUNTIF('LOCATION RESPONSES'!B:B,B146)
</f>
        <v>1</v>
      </c>
    </row>
    <row r="167" ht="22.5" customHeight="1">
      <c r="A167" s="4">
        <v>46018.58879375</v>
      </c>
      <c r="B167" s="6" t="s">
        <v>469</v>
      </c>
      <c r="C167" s="6">
        <v>7.002523449E9</v>
      </c>
      <c r="E167" s="9" t="s">
        <v>470</v>
      </c>
      <c r="F167" s="6" t="s">
        <v>22</v>
      </c>
      <c r="H167" s="6" t="s">
        <v>18</v>
      </c>
      <c r="I167" s="6" t="s">
        <v>24</v>
      </c>
      <c r="J167" s="6" t="s">
        <v>79</v>
      </c>
      <c r="K167" s="6" t="s">
        <v>471</v>
      </c>
      <c r="L167" s="6" t="s">
        <v>85</v>
      </c>
      <c r="Q167" s="22">
        <f>COUNTIF('LOCATION RESPONSES'!B:B,B140)
</f>
        <v>1</v>
      </c>
      <c r="R167" s="22">
        <f>COUNTIF('LOCATION RESPONSES'!B:B,B147)
</f>
        <v>1</v>
      </c>
    </row>
    <row r="168" ht="22.5" customHeight="1">
      <c r="A168" s="4">
        <v>46018.594042488425</v>
      </c>
      <c r="B168" s="6" t="s">
        <v>472</v>
      </c>
      <c r="C168" s="6">
        <v>9.508065352E9</v>
      </c>
      <c r="E168" s="9" t="s">
        <v>473</v>
      </c>
      <c r="F168" s="6" t="s">
        <v>22</v>
      </c>
      <c r="H168" s="6" t="s">
        <v>18</v>
      </c>
      <c r="I168" s="6" t="s">
        <v>24</v>
      </c>
      <c r="J168" s="6" t="s">
        <v>79</v>
      </c>
      <c r="K168" s="6" t="s">
        <v>474</v>
      </c>
      <c r="L168" s="6" t="s">
        <v>85</v>
      </c>
      <c r="Q168" s="22">
        <f>COUNTIF('LOCATION RESPONSES'!B:B,B141)
</f>
        <v>0</v>
      </c>
      <c r="R168" s="22">
        <f>COUNTIF('LOCATION RESPONSES'!B:B,B148)
</f>
        <v>1</v>
      </c>
    </row>
    <row r="169" ht="22.5" customHeight="1">
      <c r="A169" s="4">
        <v>46018.60023748843</v>
      </c>
      <c r="B169" s="6" t="s">
        <v>475</v>
      </c>
      <c r="C169" s="6">
        <v>9.954532006E9</v>
      </c>
      <c r="E169" s="9" t="s">
        <v>476</v>
      </c>
      <c r="F169" s="6" t="s">
        <v>22</v>
      </c>
      <c r="G169" s="6" t="s">
        <v>88</v>
      </c>
      <c r="H169" s="6" t="s">
        <v>18</v>
      </c>
      <c r="I169" s="6" t="s">
        <v>24</v>
      </c>
      <c r="J169" s="6" t="s">
        <v>79</v>
      </c>
      <c r="K169" s="6" t="s">
        <v>477</v>
      </c>
      <c r="L169" s="6" t="s">
        <v>85</v>
      </c>
      <c r="Q169" s="22">
        <f>COUNTIF('LOCATION RESPONSES'!B:B,B142)
</f>
        <v>1</v>
      </c>
      <c r="R169" s="22">
        <f>COUNTIF('LOCATION RESPONSES'!B:B,B149)
</f>
        <v>0</v>
      </c>
    </row>
    <row r="170" ht="22.5" customHeight="1">
      <c r="A170" s="4">
        <v>46018.61027315972</v>
      </c>
      <c r="B170" s="6" t="s">
        <v>478</v>
      </c>
      <c r="C170" s="6">
        <v>6.001069724E9</v>
      </c>
      <c r="E170" s="9" t="s">
        <v>479</v>
      </c>
      <c r="F170" s="6" t="s">
        <v>22</v>
      </c>
      <c r="G170" s="6" t="s">
        <v>28</v>
      </c>
      <c r="H170" s="6" t="s">
        <v>18</v>
      </c>
      <c r="I170" s="6" t="s">
        <v>24</v>
      </c>
      <c r="J170" s="6" t="s">
        <v>79</v>
      </c>
      <c r="K170" s="6" t="s">
        <v>480</v>
      </c>
      <c r="L170" s="6" t="s">
        <v>85</v>
      </c>
      <c r="Q170" s="22">
        <f>COUNTIF('LOCATION RESPONSES'!B:B,B143)
</f>
        <v>1</v>
      </c>
      <c r="R170" s="22">
        <f>COUNTIF('LOCATION RESPONSES'!B:B,B150)
</f>
        <v>1</v>
      </c>
    </row>
    <row r="171" ht="22.5" customHeight="1">
      <c r="A171" s="4">
        <v>46018.614363796296</v>
      </c>
      <c r="B171" s="6" t="s">
        <v>481</v>
      </c>
      <c r="C171" s="6">
        <v>8.82281231E9</v>
      </c>
      <c r="E171" s="9" t="s">
        <v>482</v>
      </c>
      <c r="F171" s="6" t="s">
        <v>22</v>
      </c>
      <c r="G171" s="6" t="s">
        <v>28</v>
      </c>
      <c r="H171" s="6" t="s">
        <v>18</v>
      </c>
      <c r="I171" s="6" t="s">
        <v>24</v>
      </c>
      <c r="J171" s="6" t="s">
        <v>79</v>
      </c>
      <c r="K171" s="6" t="s">
        <v>483</v>
      </c>
      <c r="L171" s="6" t="s">
        <v>85</v>
      </c>
      <c r="Q171" s="22">
        <f>COUNTIF('LOCATION RESPONSES'!B:B,B144)
</f>
        <v>0</v>
      </c>
      <c r="R171" s="22">
        <f>COUNTIF('LOCATION RESPONSES'!B:B,B151)
</f>
        <v>0</v>
      </c>
    </row>
    <row r="172" ht="22.5" customHeight="1">
      <c r="A172" s="4">
        <v>46018.61931677083</v>
      </c>
      <c r="B172" s="6" t="s">
        <v>484</v>
      </c>
      <c r="C172" s="6">
        <v>6.000060749E9</v>
      </c>
      <c r="E172" s="9" t="s">
        <v>485</v>
      </c>
      <c r="F172" s="6" t="s">
        <v>22</v>
      </c>
      <c r="G172" s="6" t="s">
        <v>28</v>
      </c>
      <c r="H172" s="6" t="s">
        <v>18</v>
      </c>
      <c r="I172" s="6" t="s">
        <v>24</v>
      </c>
      <c r="J172" s="6" t="s">
        <v>79</v>
      </c>
      <c r="K172" s="6" t="s">
        <v>486</v>
      </c>
      <c r="L172" s="6" t="s">
        <v>85</v>
      </c>
      <c r="Q172" s="22">
        <f>COUNTIF('LOCATION RESPONSES'!B:B,B145)
</f>
        <v>1</v>
      </c>
      <c r="R172" s="22">
        <f>COUNTIF('LOCATION RESPONSES'!B:B,B152)
</f>
        <v>0</v>
      </c>
    </row>
    <row r="173" ht="22.5" customHeight="1">
      <c r="A173" s="4">
        <v>46018.625384583334</v>
      </c>
      <c r="B173" s="6" t="s">
        <v>487</v>
      </c>
      <c r="C173" s="6">
        <v>7.002752036E9</v>
      </c>
      <c r="E173" s="9" t="s">
        <v>488</v>
      </c>
      <c r="F173" s="6" t="s">
        <v>22</v>
      </c>
      <c r="G173" s="6" t="s">
        <v>28</v>
      </c>
      <c r="H173" s="6" t="s">
        <v>18</v>
      </c>
      <c r="I173" s="6" t="s">
        <v>24</v>
      </c>
      <c r="J173" s="6" t="s">
        <v>79</v>
      </c>
      <c r="K173" s="6" t="s">
        <v>489</v>
      </c>
      <c r="L173" s="6" t="s">
        <v>85</v>
      </c>
      <c r="Q173" s="22">
        <f>COUNTIF('LOCATION RESPONSES'!B:B,B146)
</f>
        <v>1</v>
      </c>
      <c r="R173" s="22">
        <f>COUNTIF('LOCATION RESPONSES'!B:B,B153)
</f>
        <v>1</v>
      </c>
    </row>
    <row r="174" ht="22.5" customHeight="1">
      <c r="A174" s="11">
        <v>46018.64805820602</v>
      </c>
      <c r="B174" s="12" t="s">
        <v>490</v>
      </c>
      <c r="C174" s="12">
        <v>9.085778602E9</v>
      </c>
      <c r="D174" s="13"/>
      <c r="E174" s="14" t="s">
        <v>491</v>
      </c>
      <c r="F174" s="12" t="s">
        <v>492</v>
      </c>
      <c r="G174" s="12" t="s">
        <v>28</v>
      </c>
      <c r="H174" s="12" t="s">
        <v>18</v>
      </c>
      <c r="I174" s="12" t="s">
        <v>24</v>
      </c>
      <c r="J174" s="12" t="s">
        <v>79</v>
      </c>
      <c r="K174" s="12" t="s">
        <v>493</v>
      </c>
      <c r="L174" s="12" t="s">
        <v>310</v>
      </c>
      <c r="M174" s="13"/>
      <c r="N174" s="13"/>
      <c r="O174" s="13"/>
      <c r="P174" s="13"/>
      <c r="Q174" s="13">
        <f>COUNTIF('LOCATION RESPONSES'!B:B,B147)
</f>
        <v>1</v>
      </c>
      <c r="R174" s="13">
        <f>COUNTIF('LOCATION RESPONSES'!B:B,B154)
</f>
        <v>1</v>
      </c>
    </row>
    <row r="175" ht="22.5" customHeight="1">
      <c r="A175" s="4">
        <v>46020.515036296296</v>
      </c>
      <c r="B175" s="6" t="s">
        <v>494</v>
      </c>
      <c r="C175" s="6">
        <v>6.000707058E9</v>
      </c>
      <c r="E175" s="9" t="s">
        <v>495</v>
      </c>
      <c r="F175" s="6" t="s">
        <v>22</v>
      </c>
      <c r="G175" s="6" t="s">
        <v>88</v>
      </c>
      <c r="H175" s="6" t="s">
        <v>18</v>
      </c>
      <c r="I175" s="6" t="s">
        <v>24</v>
      </c>
      <c r="J175" s="6" t="s">
        <v>79</v>
      </c>
      <c r="K175" s="6" t="s">
        <v>496</v>
      </c>
      <c r="L175" s="6" t="s">
        <v>85</v>
      </c>
      <c r="Q175" s="22">
        <f>COUNTIF('LOCATION RESPONSES'!B:B,B148)
</f>
        <v>1</v>
      </c>
      <c r="R175" s="22">
        <f>COUNTIF('LOCATION RESPONSES'!B:B,B155)
</f>
        <v>0</v>
      </c>
    </row>
    <row r="176" ht="22.5" customHeight="1">
      <c r="A176" s="4">
        <v>46020.518326527774</v>
      </c>
      <c r="B176" s="6" t="s">
        <v>497</v>
      </c>
      <c r="C176" s="6">
        <v>9.954764312E9</v>
      </c>
      <c r="E176" s="9" t="s">
        <v>498</v>
      </c>
      <c r="F176" s="6" t="s">
        <v>77</v>
      </c>
      <c r="G176" s="6" t="s">
        <v>28</v>
      </c>
      <c r="H176" s="6" t="s">
        <v>18</v>
      </c>
      <c r="I176" s="6" t="s">
        <v>24</v>
      </c>
      <c r="J176" s="6" t="s">
        <v>79</v>
      </c>
      <c r="K176" s="6" t="s">
        <v>453</v>
      </c>
      <c r="L176" s="6" t="s">
        <v>85</v>
      </c>
      <c r="Q176" s="22">
        <f>COUNTIF('LOCATION RESPONSES'!B:B,B149)
</f>
        <v>0</v>
      </c>
      <c r="R176" s="22">
        <f>COUNTIF('LOCATION RESPONSES'!B:B,B156)
</f>
        <v>0</v>
      </c>
    </row>
    <row r="177" ht="22.5" customHeight="1">
      <c r="A177" s="4">
        <v>46020.52171621528</v>
      </c>
      <c r="B177" s="6" t="s">
        <v>499</v>
      </c>
      <c r="C177" s="6">
        <v>9.854479827E9</v>
      </c>
      <c r="E177" s="9" t="s">
        <v>500</v>
      </c>
      <c r="F177" s="6" t="s">
        <v>22</v>
      </c>
      <c r="G177" s="6" t="s">
        <v>88</v>
      </c>
      <c r="H177" s="6" t="s">
        <v>18</v>
      </c>
      <c r="I177" s="6" t="s">
        <v>24</v>
      </c>
      <c r="J177" s="6" t="s">
        <v>79</v>
      </c>
      <c r="K177" s="6" t="s">
        <v>501</v>
      </c>
      <c r="L177" s="6" t="s">
        <v>85</v>
      </c>
      <c r="Q177" s="22">
        <f>COUNTIF('LOCATION RESPONSES'!B:B,B150)
</f>
        <v>1</v>
      </c>
      <c r="R177" s="22">
        <f>COUNTIF('LOCATION RESPONSES'!B:B,B157)
</f>
        <v>1</v>
      </c>
    </row>
    <row r="178" ht="22.5" customHeight="1">
      <c r="A178" s="4">
        <v>46020.5261284838</v>
      </c>
      <c r="B178" s="6" t="s">
        <v>502</v>
      </c>
      <c r="C178" s="6" t="s">
        <v>503</v>
      </c>
      <c r="E178" s="9" t="s">
        <v>504</v>
      </c>
      <c r="F178" s="6" t="s">
        <v>22</v>
      </c>
      <c r="G178" s="6" t="s">
        <v>28</v>
      </c>
      <c r="H178" s="6" t="s">
        <v>18</v>
      </c>
      <c r="I178" s="6" t="s">
        <v>24</v>
      </c>
      <c r="J178" s="6" t="s">
        <v>79</v>
      </c>
      <c r="K178" s="6" t="s">
        <v>505</v>
      </c>
      <c r="L178" s="6" t="s">
        <v>85</v>
      </c>
      <c r="Q178" s="22">
        <f>COUNTIF('LOCATION RESPONSES'!B:B,B151)
</f>
        <v>0</v>
      </c>
      <c r="R178" s="22">
        <f>COUNTIF('LOCATION RESPONSES'!B:B,B158)
</f>
        <v>0</v>
      </c>
    </row>
    <row r="179" ht="22.5" customHeight="1">
      <c r="A179" s="4">
        <v>46020.5464791088</v>
      </c>
      <c r="B179" s="6" t="s">
        <v>506</v>
      </c>
      <c r="C179" s="6">
        <v>9.706785749E9</v>
      </c>
      <c r="E179" s="9" t="s">
        <v>507</v>
      </c>
      <c r="F179" s="6" t="s">
        <v>508</v>
      </c>
      <c r="G179" s="6" t="s">
        <v>28</v>
      </c>
      <c r="H179" s="6" t="s">
        <v>18</v>
      </c>
      <c r="I179" s="6" t="s">
        <v>24</v>
      </c>
      <c r="J179" s="6" t="s">
        <v>68</v>
      </c>
      <c r="K179" s="6" t="s">
        <v>509</v>
      </c>
      <c r="L179" s="6" t="s">
        <v>310</v>
      </c>
      <c r="Q179" s="22">
        <f>COUNTIF('LOCATION RESPONSES'!B:B,B152)
</f>
        <v>0</v>
      </c>
      <c r="R179" s="22">
        <f>COUNTIF('LOCATION RESPONSES'!B:B,B159)
</f>
        <v>0</v>
      </c>
    </row>
    <row r="180" ht="22.5" customHeight="1">
      <c r="A180" s="4">
        <v>46020.552360925925</v>
      </c>
      <c r="B180" s="6" t="s">
        <v>510</v>
      </c>
      <c r="C180" s="6">
        <v>9.198274078E9</v>
      </c>
      <c r="E180" s="9" t="s">
        <v>511</v>
      </c>
      <c r="F180" s="6" t="s">
        <v>22</v>
      </c>
      <c r="G180" s="6" t="s">
        <v>88</v>
      </c>
      <c r="H180" s="6" t="s">
        <v>18</v>
      </c>
      <c r="I180" s="6" t="s">
        <v>24</v>
      </c>
      <c r="J180" s="6" t="s">
        <v>79</v>
      </c>
      <c r="K180" s="6" t="s">
        <v>159</v>
      </c>
      <c r="L180" s="6" t="s">
        <v>85</v>
      </c>
      <c r="Q180" s="22">
        <f>COUNTIF('LOCATION RESPONSES'!B:B,B153)
</f>
        <v>1</v>
      </c>
      <c r="R180" s="22">
        <f>COUNTIF('LOCATION RESPONSES'!B:B,B160)
</f>
        <v>1</v>
      </c>
    </row>
    <row r="181" ht="22.5" customHeight="1">
      <c r="A181" s="4">
        <v>46020.55865357639</v>
      </c>
      <c r="B181" s="6" t="s">
        <v>512</v>
      </c>
      <c r="C181" s="6">
        <v>6.901743772E9</v>
      </c>
      <c r="E181" s="9" t="s">
        <v>513</v>
      </c>
      <c r="F181" s="6" t="s">
        <v>22</v>
      </c>
      <c r="G181" s="6" t="s">
        <v>88</v>
      </c>
      <c r="H181" s="6" t="s">
        <v>18</v>
      </c>
      <c r="I181" s="6" t="s">
        <v>24</v>
      </c>
      <c r="J181" s="6" t="s">
        <v>79</v>
      </c>
      <c r="K181" s="6" t="s">
        <v>514</v>
      </c>
      <c r="L181" s="6" t="s">
        <v>85</v>
      </c>
      <c r="Q181" s="22">
        <f>COUNTIF('LOCATION RESPONSES'!B:B,B154)
</f>
        <v>1</v>
      </c>
      <c r="R181" s="22">
        <f>COUNTIF('LOCATION RESPONSES'!B:B,B161)
</f>
        <v>1</v>
      </c>
    </row>
    <row r="182" ht="22.5" customHeight="1">
      <c r="A182" s="4">
        <v>46020.56417020834</v>
      </c>
      <c r="B182" s="6" t="s">
        <v>515</v>
      </c>
      <c r="C182" s="6">
        <v>9.085883848E9</v>
      </c>
      <c r="E182" s="9" t="s">
        <v>516</v>
      </c>
      <c r="F182" s="6" t="s">
        <v>22</v>
      </c>
      <c r="G182" s="6" t="s">
        <v>88</v>
      </c>
      <c r="H182" s="6" t="s">
        <v>18</v>
      </c>
      <c r="I182" s="6" t="s">
        <v>24</v>
      </c>
      <c r="J182" s="6" t="s">
        <v>79</v>
      </c>
      <c r="K182" s="6" t="s">
        <v>517</v>
      </c>
      <c r="L182" s="6" t="s">
        <v>85</v>
      </c>
      <c r="Q182" s="22">
        <f>COUNTIF('LOCATION RESPONSES'!B:B,B155)
</f>
        <v>0</v>
      </c>
      <c r="R182" s="22">
        <f>COUNTIF('LOCATION RESPONSES'!B:B,B162)
</f>
        <v>1</v>
      </c>
    </row>
    <row r="183" ht="22.5" customHeight="1">
      <c r="A183" s="4">
        <v>46020.57131503472</v>
      </c>
      <c r="B183" s="6" t="s">
        <v>518</v>
      </c>
      <c r="C183" s="6">
        <v>7.002450521E9</v>
      </c>
      <c r="E183" s="9" t="s">
        <v>519</v>
      </c>
      <c r="F183" s="6" t="s">
        <v>22</v>
      </c>
      <c r="G183" s="6" t="s">
        <v>88</v>
      </c>
      <c r="H183" s="6" t="s">
        <v>18</v>
      </c>
      <c r="I183" s="6" t="s">
        <v>24</v>
      </c>
      <c r="J183" s="6" t="s">
        <v>79</v>
      </c>
      <c r="K183" s="6" t="s">
        <v>520</v>
      </c>
      <c r="L183" s="6" t="s">
        <v>85</v>
      </c>
      <c r="Q183" s="22">
        <f>COUNTIF('LOCATION RESPONSES'!B:B,B156)
</f>
        <v>0</v>
      </c>
      <c r="R183" s="22">
        <f>COUNTIF('LOCATION RESPONSES'!B:B,B163)
</f>
        <v>1</v>
      </c>
    </row>
    <row r="184" ht="22.5" customHeight="1">
      <c r="A184" s="4">
        <v>46020.57429775463</v>
      </c>
      <c r="B184" s="6" t="s">
        <v>521</v>
      </c>
      <c r="C184" s="6">
        <v>7.002969922E9</v>
      </c>
      <c r="E184" s="9" t="s">
        <v>522</v>
      </c>
      <c r="F184" s="6" t="s">
        <v>22</v>
      </c>
      <c r="G184" s="6" t="s">
        <v>88</v>
      </c>
      <c r="H184" s="6" t="s">
        <v>18</v>
      </c>
      <c r="I184" s="6" t="s">
        <v>24</v>
      </c>
      <c r="J184" s="6" t="s">
        <v>79</v>
      </c>
      <c r="K184" s="6" t="s">
        <v>28</v>
      </c>
      <c r="L184" s="6" t="s">
        <v>85</v>
      </c>
      <c r="Q184" s="22">
        <f>COUNTIF('LOCATION RESPONSES'!B:B,B157)
</f>
        <v>1</v>
      </c>
      <c r="R184" s="22">
        <f>COUNTIF('LOCATION RESPONSES'!B:B,B164)
</f>
        <v>0</v>
      </c>
    </row>
    <row r="185" ht="22.5" customHeight="1">
      <c r="A185" s="4">
        <v>46020.59490321759</v>
      </c>
      <c r="B185" s="6" t="s">
        <v>523</v>
      </c>
      <c r="C185" s="6">
        <v>9.508065352E9</v>
      </c>
      <c r="E185" s="9" t="s">
        <v>524</v>
      </c>
      <c r="F185" s="6" t="s">
        <v>77</v>
      </c>
      <c r="G185" s="6" t="s">
        <v>88</v>
      </c>
      <c r="H185" s="6" t="s">
        <v>18</v>
      </c>
      <c r="I185" s="6" t="s">
        <v>24</v>
      </c>
      <c r="J185" s="6" t="s">
        <v>79</v>
      </c>
      <c r="K185" s="6" t="s">
        <v>453</v>
      </c>
      <c r="L185" s="6" t="s">
        <v>85</v>
      </c>
      <c r="Q185" s="22">
        <f>COUNTIF('LOCATION RESPONSES'!B:B,B158)
</f>
        <v>0</v>
      </c>
      <c r="R185" s="22">
        <f>COUNTIF('LOCATION RESPONSES'!B:B,B165)
</f>
        <v>0</v>
      </c>
    </row>
    <row r="186" ht="22.5" customHeight="1">
      <c r="A186" s="4">
        <v>46020.59923769676</v>
      </c>
      <c r="B186" s="6" t="s">
        <v>525</v>
      </c>
      <c r="C186" s="6">
        <v>9.954123099E9</v>
      </c>
      <c r="E186" s="9" t="s">
        <v>526</v>
      </c>
      <c r="F186" s="6" t="s">
        <v>22</v>
      </c>
      <c r="G186" s="6" t="s">
        <v>527</v>
      </c>
      <c r="H186" s="6" t="s">
        <v>18</v>
      </c>
      <c r="I186" s="6" t="s">
        <v>24</v>
      </c>
      <c r="J186" s="6" t="s">
        <v>79</v>
      </c>
      <c r="K186" s="6" t="s">
        <v>159</v>
      </c>
      <c r="L186" s="6" t="s">
        <v>85</v>
      </c>
      <c r="Q186" s="22">
        <f>COUNTIF('LOCATION RESPONSES'!B:B,B159)
</f>
        <v>0</v>
      </c>
      <c r="R186" s="22">
        <f>COUNTIF('LOCATION RESPONSES'!B:B,B166)
</f>
        <v>1</v>
      </c>
    </row>
    <row r="187" ht="22.5" customHeight="1">
      <c r="A187" s="4">
        <v>46020.60382458333</v>
      </c>
      <c r="B187" s="6" t="s">
        <v>528</v>
      </c>
      <c r="C187" s="6">
        <v>6.001785268E9</v>
      </c>
      <c r="E187" s="9" t="s">
        <v>529</v>
      </c>
      <c r="F187" s="6" t="s">
        <v>22</v>
      </c>
      <c r="G187" s="6" t="s">
        <v>88</v>
      </c>
      <c r="H187" s="6" t="s">
        <v>18</v>
      </c>
      <c r="I187" s="6" t="s">
        <v>24</v>
      </c>
      <c r="J187" s="6" t="s">
        <v>79</v>
      </c>
      <c r="K187" s="6" t="s">
        <v>530</v>
      </c>
      <c r="L187" s="6" t="s">
        <v>85</v>
      </c>
      <c r="Q187" s="22">
        <f>COUNTIF('LOCATION RESPONSES'!B:B,B160)
</f>
        <v>1</v>
      </c>
      <c r="R187" s="22">
        <f>COUNTIF('LOCATION RESPONSES'!B:B,B167)
</f>
        <v>0</v>
      </c>
    </row>
    <row r="188" ht="22.5" customHeight="1">
      <c r="A188" s="4">
        <v>46020.707114571764</v>
      </c>
      <c r="B188" s="6" t="s">
        <v>531</v>
      </c>
      <c r="C188" s="6">
        <v>9.401472208E9</v>
      </c>
      <c r="E188" s="9" t="s">
        <v>532</v>
      </c>
      <c r="F188" s="6" t="s">
        <v>22</v>
      </c>
      <c r="G188" s="6" t="s">
        <v>88</v>
      </c>
      <c r="H188" s="6" t="s">
        <v>18</v>
      </c>
      <c r="I188" s="6" t="s">
        <v>24</v>
      </c>
      <c r="J188" s="6" t="s">
        <v>79</v>
      </c>
      <c r="K188" s="6" t="s">
        <v>396</v>
      </c>
      <c r="L188" s="6" t="s">
        <v>85</v>
      </c>
      <c r="Q188" s="22">
        <f>COUNTIF('LOCATION RESPONSES'!B:B,B161)
</f>
        <v>1</v>
      </c>
      <c r="R188" s="22">
        <f>COUNTIF('LOCATION RESPONSES'!B:B,B168)
</f>
        <v>0</v>
      </c>
    </row>
    <row r="189" ht="22.5" customHeight="1">
      <c r="A189" s="4">
        <v>46020.71054850695</v>
      </c>
      <c r="B189" s="6" t="s">
        <v>533</v>
      </c>
      <c r="C189" s="6">
        <v>9.706959852E9</v>
      </c>
      <c r="E189" s="9" t="s">
        <v>534</v>
      </c>
      <c r="F189" s="6" t="s">
        <v>77</v>
      </c>
      <c r="G189" s="6" t="s">
        <v>88</v>
      </c>
      <c r="H189" s="6" t="s">
        <v>18</v>
      </c>
      <c r="I189" s="6" t="s">
        <v>24</v>
      </c>
      <c r="J189" s="6" t="s">
        <v>79</v>
      </c>
      <c r="K189" s="6" t="s">
        <v>40</v>
      </c>
      <c r="L189" s="6" t="s">
        <v>85</v>
      </c>
      <c r="Q189" s="22">
        <f>COUNTIF('LOCATION RESPONSES'!B:B,B162)
</f>
        <v>1</v>
      </c>
      <c r="R189" s="22">
        <f>COUNTIF('LOCATION RESPONSES'!B:B,B169)
</f>
        <v>0</v>
      </c>
    </row>
    <row r="190" ht="22.5" customHeight="1">
      <c r="A190" s="4">
        <v>46020.71269884259</v>
      </c>
      <c r="B190" s="6" t="s">
        <v>535</v>
      </c>
      <c r="C190" s="6">
        <v>8.761037126E9</v>
      </c>
      <c r="E190" s="9" t="s">
        <v>536</v>
      </c>
      <c r="F190" s="6" t="s">
        <v>22</v>
      </c>
      <c r="G190" s="6" t="s">
        <v>88</v>
      </c>
      <c r="H190" s="6" t="s">
        <v>18</v>
      </c>
      <c r="I190" s="6" t="s">
        <v>24</v>
      </c>
      <c r="J190" s="6" t="s">
        <v>79</v>
      </c>
      <c r="K190" s="6" t="s">
        <v>537</v>
      </c>
      <c r="L190" s="6" t="s">
        <v>85</v>
      </c>
      <c r="Q190" s="22">
        <f>COUNTIF('LOCATION RESPONSES'!B:B,B163)
</f>
        <v>1</v>
      </c>
      <c r="R190" s="22">
        <f>COUNTIF('LOCATION RESPONSES'!B:B,B170)
</f>
        <v>1</v>
      </c>
    </row>
    <row r="191" ht="22.5" customHeight="1">
      <c r="A191" s="4">
        <v>46020.721958344904</v>
      </c>
      <c r="B191" s="6" t="s">
        <v>538</v>
      </c>
      <c r="C191" s="6">
        <v>9.706610734E9</v>
      </c>
      <c r="E191" s="9" t="s">
        <v>539</v>
      </c>
      <c r="F191" s="6" t="s">
        <v>22</v>
      </c>
      <c r="G191" s="6" t="s">
        <v>88</v>
      </c>
      <c r="H191" s="6" t="s">
        <v>18</v>
      </c>
      <c r="I191" s="6" t="s">
        <v>24</v>
      </c>
      <c r="J191" s="6" t="s">
        <v>68</v>
      </c>
      <c r="K191" s="6" t="s">
        <v>540</v>
      </c>
      <c r="L191" s="6" t="s">
        <v>85</v>
      </c>
      <c r="Q191" s="22">
        <f>COUNTIF('LOCATION RESPONSES'!B:B,B164)
</f>
        <v>0</v>
      </c>
      <c r="R191" s="22">
        <f>COUNTIF('LOCATION RESPONSES'!B:B,B171)
</f>
        <v>1</v>
      </c>
    </row>
    <row r="192" ht="22.5" customHeight="1">
      <c r="A192" s="4">
        <v>46020.725499988424</v>
      </c>
      <c r="B192" s="6" t="s">
        <v>541</v>
      </c>
      <c r="C192" s="6">
        <v>9.127265653E9</v>
      </c>
      <c r="E192" s="9" t="s">
        <v>542</v>
      </c>
      <c r="F192" s="6" t="s">
        <v>22</v>
      </c>
      <c r="G192" s="6" t="s">
        <v>88</v>
      </c>
      <c r="H192" s="6" t="s">
        <v>18</v>
      </c>
      <c r="I192" s="6" t="s">
        <v>24</v>
      </c>
      <c r="J192" s="6" t="s">
        <v>79</v>
      </c>
      <c r="K192" s="6" t="s">
        <v>543</v>
      </c>
      <c r="L192" s="6" t="s">
        <v>85</v>
      </c>
      <c r="Q192" s="22">
        <f>COUNTIF('LOCATION RESPONSES'!B:B,B165)
</f>
        <v>0</v>
      </c>
      <c r="R192" s="22">
        <f>COUNTIF('LOCATION RESPONSES'!B:B,B172)
</f>
        <v>0</v>
      </c>
    </row>
    <row r="193" ht="22.5" customHeight="1">
      <c r="A193" s="4">
        <v>46021.50711277778</v>
      </c>
      <c r="B193" s="6" t="s">
        <v>544</v>
      </c>
      <c r="C193" s="6">
        <v>9.11348413E9</v>
      </c>
      <c r="E193" s="9" t="s">
        <v>545</v>
      </c>
      <c r="F193" s="6" t="s">
        <v>508</v>
      </c>
      <c r="G193" s="6" t="s">
        <v>88</v>
      </c>
      <c r="H193" s="6" t="s">
        <v>18</v>
      </c>
      <c r="I193" s="6" t="s">
        <v>24</v>
      </c>
      <c r="J193" s="6" t="s">
        <v>79</v>
      </c>
      <c r="K193" s="6" t="s">
        <v>159</v>
      </c>
      <c r="L193" s="6" t="s">
        <v>85</v>
      </c>
      <c r="Q193" s="22">
        <f>COUNTIF('LOCATION RESPONSES'!B:B,B166)
</f>
        <v>1</v>
      </c>
      <c r="R193" s="22">
        <f>COUNTIF('LOCATION RESPONSES'!B:B,B173)
</f>
        <v>1</v>
      </c>
    </row>
    <row r="194" ht="22.5" customHeight="1">
      <c r="A194" s="4">
        <v>46021.51621194444</v>
      </c>
      <c r="B194" s="6" t="s">
        <v>546</v>
      </c>
      <c r="C194" s="6">
        <v>9.365195121E9</v>
      </c>
      <c r="E194" s="9" t="s">
        <v>547</v>
      </c>
      <c r="F194" s="6" t="s">
        <v>22</v>
      </c>
      <c r="G194" s="6" t="s">
        <v>88</v>
      </c>
      <c r="H194" s="6" t="s">
        <v>18</v>
      </c>
      <c r="I194" s="6" t="s">
        <v>24</v>
      </c>
      <c r="J194" s="6" t="s">
        <v>79</v>
      </c>
      <c r="K194" s="6" t="s">
        <v>548</v>
      </c>
      <c r="L194" s="6" t="s">
        <v>85</v>
      </c>
      <c r="Q194" s="22">
        <f>COUNTIF('LOCATION RESPONSES'!B:B,B167)
</f>
        <v>0</v>
      </c>
      <c r="R194" s="22">
        <f>COUNTIF('LOCATION RESPONSES'!B:B,B174)
</f>
        <v>2</v>
      </c>
    </row>
    <row r="195" ht="22.5" customHeight="1">
      <c r="A195" s="4">
        <v>46021.517587951384</v>
      </c>
      <c r="B195" s="6" t="s">
        <v>549</v>
      </c>
      <c r="C195" s="6">
        <v>8.638914045E9</v>
      </c>
      <c r="E195" s="9" t="s">
        <v>550</v>
      </c>
      <c r="F195" s="6" t="s">
        <v>22</v>
      </c>
      <c r="G195" s="6" t="s">
        <v>88</v>
      </c>
      <c r="H195" s="6" t="s">
        <v>18</v>
      </c>
      <c r="I195" s="6" t="s">
        <v>24</v>
      </c>
      <c r="J195" s="6" t="s">
        <v>79</v>
      </c>
      <c r="K195" s="6" t="s">
        <v>159</v>
      </c>
      <c r="L195" s="6" t="s">
        <v>85</v>
      </c>
      <c r="Q195" s="22">
        <f>COUNTIF('LOCATION RESPONSES'!B:B,B168)
</f>
        <v>0</v>
      </c>
      <c r="R195" s="22">
        <f>COUNTIF('LOCATION RESPONSES'!B:B,B175)
</f>
        <v>1</v>
      </c>
    </row>
    <row r="196" ht="22.5" customHeight="1">
      <c r="A196" s="4">
        <v>46021.52941054398</v>
      </c>
      <c r="B196" s="6" t="s">
        <v>551</v>
      </c>
      <c r="C196" s="6">
        <v>8.403815712E9</v>
      </c>
      <c r="E196" s="9" t="s">
        <v>552</v>
      </c>
      <c r="F196" s="6" t="s">
        <v>77</v>
      </c>
      <c r="G196" s="6" t="s">
        <v>88</v>
      </c>
      <c r="H196" s="6" t="s">
        <v>18</v>
      </c>
      <c r="I196" s="6" t="s">
        <v>24</v>
      </c>
      <c r="J196" s="6" t="s">
        <v>79</v>
      </c>
      <c r="K196" s="6" t="s">
        <v>40</v>
      </c>
      <c r="L196" s="6" t="s">
        <v>85</v>
      </c>
      <c r="Q196" s="22">
        <f>COUNTIF('LOCATION RESPONSES'!B:B,B169)
</f>
        <v>0</v>
      </c>
      <c r="R196" s="22">
        <f>COUNTIF('LOCATION RESPONSES'!B:B,B176)
</f>
        <v>1</v>
      </c>
    </row>
    <row r="197" ht="22.5" customHeight="1">
      <c r="A197" s="4">
        <v>46021.54266921296</v>
      </c>
      <c r="B197" s="6" t="s">
        <v>553</v>
      </c>
      <c r="C197" s="6">
        <v>9.9578286E9</v>
      </c>
      <c r="E197" s="9" t="s">
        <v>554</v>
      </c>
      <c r="F197" s="6" t="s">
        <v>508</v>
      </c>
      <c r="G197" s="6" t="s">
        <v>88</v>
      </c>
      <c r="H197" s="6" t="s">
        <v>18</v>
      </c>
      <c r="I197" s="6" t="s">
        <v>24</v>
      </c>
      <c r="J197" s="6" t="s">
        <v>79</v>
      </c>
      <c r="K197" s="6" t="s">
        <v>555</v>
      </c>
      <c r="L197" s="6" t="s">
        <v>310</v>
      </c>
      <c r="Q197" s="22">
        <f>COUNTIF('LOCATION RESPONSES'!B:B,B170)
</f>
        <v>1</v>
      </c>
      <c r="R197" s="22">
        <f>COUNTIF('LOCATION RESPONSES'!B:B,B177)
</f>
        <v>0</v>
      </c>
    </row>
    <row r="198" ht="22.5" customHeight="1">
      <c r="A198" s="4">
        <v>46021.5487158912</v>
      </c>
      <c r="B198" s="6" t="s">
        <v>556</v>
      </c>
      <c r="C198" s="6">
        <v>9.864626489E9</v>
      </c>
      <c r="E198" s="9" t="s">
        <v>557</v>
      </c>
      <c r="F198" s="6" t="s">
        <v>77</v>
      </c>
      <c r="G198" s="6" t="s">
        <v>88</v>
      </c>
      <c r="H198" s="6" t="s">
        <v>18</v>
      </c>
      <c r="I198" s="6" t="s">
        <v>24</v>
      </c>
      <c r="J198" s="6" t="s">
        <v>79</v>
      </c>
      <c r="K198" s="6" t="s">
        <v>40</v>
      </c>
      <c r="L198" s="6" t="s">
        <v>102</v>
      </c>
      <c r="Q198" s="22">
        <f>COUNTIF('LOCATION RESPONSES'!B:B,B171)
</f>
        <v>1</v>
      </c>
      <c r="R198" s="22">
        <f>COUNTIF('LOCATION RESPONSES'!B:B,B178)
</f>
        <v>1</v>
      </c>
    </row>
    <row r="199" ht="22.5" customHeight="1">
      <c r="A199" s="4">
        <v>46021.555169375</v>
      </c>
      <c r="B199" s="6" t="s">
        <v>558</v>
      </c>
      <c r="C199" s="6">
        <v>7.002794512E9</v>
      </c>
      <c r="E199" s="9" t="s">
        <v>559</v>
      </c>
      <c r="F199" s="6" t="s">
        <v>22</v>
      </c>
      <c r="H199" s="6" t="s">
        <v>18</v>
      </c>
      <c r="I199" s="6" t="s">
        <v>24</v>
      </c>
      <c r="J199" s="6" t="s">
        <v>79</v>
      </c>
      <c r="K199" s="6" t="s">
        <v>305</v>
      </c>
      <c r="L199" s="6" t="s">
        <v>85</v>
      </c>
      <c r="Q199" s="22">
        <f>COUNTIF('LOCATION RESPONSES'!B:B,B172)
</f>
        <v>0</v>
      </c>
      <c r="R199" s="22">
        <f>COUNTIF('LOCATION RESPONSES'!B:B,B179)
</f>
        <v>0</v>
      </c>
    </row>
    <row r="200" ht="22.5" customHeight="1">
      <c r="A200" s="4">
        <v>46021.56397870371</v>
      </c>
      <c r="B200" s="6" t="s">
        <v>560</v>
      </c>
      <c r="C200" s="6">
        <v>9.36507122E9</v>
      </c>
      <c r="E200" s="9" t="s">
        <v>561</v>
      </c>
      <c r="F200" s="6" t="s">
        <v>22</v>
      </c>
      <c r="G200" s="6" t="s">
        <v>88</v>
      </c>
      <c r="H200" s="6" t="s">
        <v>18</v>
      </c>
      <c r="I200" s="6" t="s">
        <v>24</v>
      </c>
      <c r="J200" s="6" t="s">
        <v>79</v>
      </c>
      <c r="K200" s="6" t="s">
        <v>396</v>
      </c>
      <c r="L200" s="6" t="s">
        <v>85</v>
      </c>
      <c r="Q200" s="22">
        <f>COUNTIF('LOCATION RESPONSES'!B:B,B173)
</f>
        <v>1</v>
      </c>
      <c r="R200" s="22">
        <f>COUNTIF('LOCATION RESPONSES'!B:B,B180)
</f>
        <v>1</v>
      </c>
    </row>
    <row r="201" ht="22.5" customHeight="1">
      <c r="A201" s="4">
        <v>46021.57909039352</v>
      </c>
      <c r="B201" s="6" t="s">
        <v>562</v>
      </c>
      <c r="C201" s="6">
        <v>9.60993333E9</v>
      </c>
      <c r="E201" s="9" t="s">
        <v>563</v>
      </c>
      <c r="F201" s="6" t="s">
        <v>508</v>
      </c>
      <c r="G201" s="6" t="s">
        <v>88</v>
      </c>
      <c r="H201" s="6" t="s">
        <v>18</v>
      </c>
      <c r="I201" s="6" t="s">
        <v>24</v>
      </c>
      <c r="J201" s="6" t="s">
        <v>79</v>
      </c>
      <c r="K201" s="6" t="s">
        <v>396</v>
      </c>
      <c r="L201" s="6" t="s">
        <v>85</v>
      </c>
      <c r="Q201" s="22">
        <f>COUNTIF('LOCATION RESPONSES'!B:B,B174)
</f>
        <v>2</v>
      </c>
      <c r="R201" s="22">
        <f>COUNTIF('LOCATION RESPONSES'!B:B,B181)
</f>
        <v>1</v>
      </c>
    </row>
    <row r="202" ht="22.5" customHeight="1">
      <c r="A202" s="4">
        <v>46021.58176480324</v>
      </c>
      <c r="B202" s="6" t="s">
        <v>564</v>
      </c>
      <c r="C202" s="6">
        <v>8.822169949E9</v>
      </c>
      <c r="E202" s="9" t="s">
        <v>565</v>
      </c>
      <c r="F202" s="6" t="s">
        <v>77</v>
      </c>
      <c r="H202" s="6" t="s">
        <v>18</v>
      </c>
      <c r="I202" s="6" t="s">
        <v>24</v>
      </c>
      <c r="J202" s="6" t="s">
        <v>79</v>
      </c>
      <c r="K202" s="6" t="s">
        <v>40</v>
      </c>
      <c r="L202" s="6" t="s">
        <v>85</v>
      </c>
      <c r="Q202" s="22">
        <f>COUNTIF('LOCATION RESPONSES'!B:B,B175)
</f>
        <v>1</v>
      </c>
      <c r="R202" s="22">
        <f>COUNTIF('LOCATION RESPONSES'!B:B,B182)
</f>
        <v>1</v>
      </c>
    </row>
    <row r="203" ht="22.5" customHeight="1">
      <c r="A203" s="4">
        <v>46021.583780960646</v>
      </c>
      <c r="B203" s="6" t="s">
        <v>566</v>
      </c>
      <c r="C203" s="6">
        <v>8.720985642E9</v>
      </c>
      <c r="E203" s="9" t="s">
        <v>567</v>
      </c>
      <c r="F203" s="6" t="s">
        <v>77</v>
      </c>
      <c r="H203" s="6" t="s">
        <v>568</v>
      </c>
      <c r="I203" s="6" t="s">
        <v>24</v>
      </c>
      <c r="J203" s="6" t="s">
        <v>79</v>
      </c>
      <c r="K203" s="6" t="s">
        <v>261</v>
      </c>
      <c r="L203" s="6" t="s">
        <v>85</v>
      </c>
      <c r="Q203" s="22">
        <f>COUNTIF('LOCATION RESPONSES'!B:B,B176)
</f>
        <v>1</v>
      </c>
      <c r="R203" s="22">
        <f>COUNTIF('LOCATION RESPONSES'!B:B,B183)
</f>
        <v>1</v>
      </c>
    </row>
    <row r="204" ht="22.5" customHeight="1">
      <c r="A204" s="4">
        <v>46025.6502853125</v>
      </c>
      <c r="B204" s="6" t="s">
        <v>569</v>
      </c>
      <c r="C204" s="6" t="s">
        <v>88</v>
      </c>
      <c r="E204" s="9" t="s">
        <v>570</v>
      </c>
      <c r="F204" s="6" t="s">
        <v>77</v>
      </c>
      <c r="G204" s="6" t="s">
        <v>88</v>
      </c>
      <c r="H204" s="6" t="s">
        <v>18</v>
      </c>
      <c r="I204" s="6" t="s">
        <v>19</v>
      </c>
      <c r="J204" s="6" t="s">
        <v>79</v>
      </c>
      <c r="K204" s="6" t="s">
        <v>88</v>
      </c>
      <c r="L204" s="6" t="s">
        <v>85</v>
      </c>
      <c r="N204" s="6" t="s">
        <v>571</v>
      </c>
      <c r="Q204" s="22">
        <f>COUNTIF('LOCATION RESPONSES'!B:B,B177)
</f>
        <v>0</v>
      </c>
      <c r="R204" s="22">
        <f>COUNTIF('LOCATION RESPONSES'!B:B,B184)
</f>
        <v>0</v>
      </c>
    </row>
    <row r="205" ht="22.5" customHeight="1">
      <c r="A205" s="4">
        <v>46025.66416465278</v>
      </c>
      <c r="B205" s="6" t="s">
        <v>553</v>
      </c>
      <c r="C205" s="6" t="s">
        <v>88</v>
      </c>
      <c r="E205" s="9" t="s">
        <v>572</v>
      </c>
      <c r="F205" s="6" t="s">
        <v>508</v>
      </c>
      <c r="H205" s="6" t="s">
        <v>18</v>
      </c>
      <c r="I205" s="6" t="s">
        <v>24</v>
      </c>
      <c r="J205" s="6" t="s">
        <v>79</v>
      </c>
      <c r="K205" s="6" t="s">
        <v>88</v>
      </c>
      <c r="N205" s="6" t="s">
        <v>573</v>
      </c>
      <c r="Q205" s="22">
        <f>COUNTIF('LOCATION RESPONSES'!B:B,B178)
</f>
        <v>1</v>
      </c>
      <c r="R205" s="22">
        <f>COUNTIF('LOCATION RESPONSES'!B:B,B185)
</f>
        <v>2</v>
      </c>
    </row>
    <row r="206" ht="22.5" customHeight="1">
      <c r="A206" s="4">
        <v>46025.67855877314</v>
      </c>
      <c r="B206" s="6" t="s">
        <v>574</v>
      </c>
      <c r="C206" s="6">
        <v>7.086833037E9</v>
      </c>
      <c r="E206" s="9" t="s">
        <v>575</v>
      </c>
      <c r="F206" s="6" t="s">
        <v>22</v>
      </c>
      <c r="G206" s="6" t="s">
        <v>88</v>
      </c>
      <c r="H206" s="6" t="s">
        <v>18</v>
      </c>
      <c r="I206" s="6" t="s">
        <v>19</v>
      </c>
      <c r="J206" s="6" t="s">
        <v>79</v>
      </c>
      <c r="K206" s="6" t="s">
        <v>576</v>
      </c>
      <c r="L206" s="6" t="s">
        <v>85</v>
      </c>
      <c r="N206" s="6" t="s">
        <v>571</v>
      </c>
      <c r="Q206" s="22">
        <f>COUNTIF('LOCATION RESPONSES'!B:B,B179)
</f>
        <v>0</v>
      </c>
      <c r="R206" s="22">
        <f>COUNTIF('LOCATION RESPONSES'!B:B,B186)
</f>
        <v>1</v>
      </c>
    </row>
    <row r="207" ht="22.5" customHeight="1">
      <c r="A207" s="4">
        <v>46025.686902002315</v>
      </c>
      <c r="B207" s="6" t="s">
        <v>577</v>
      </c>
      <c r="C207" s="6" t="s">
        <v>88</v>
      </c>
      <c r="E207" s="9" t="s">
        <v>578</v>
      </c>
      <c r="F207" s="6" t="s">
        <v>77</v>
      </c>
      <c r="G207" s="6" t="s">
        <v>88</v>
      </c>
      <c r="H207" s="6" t="s">
        <v>18</v>
      </c>
      <c r="I207" s="6" t="s">
        <v>24</v>
      </c>
      <c r="J207" s="6" t="s">
        <v>79</v>
      </c>
      <c r="K207" s="6" t="s">
        <v>88</v>
      </c>
      <c r="L207" s="6" t="s">
        <v>81</v>
      </c>
      <c r="N207" s="6" t="s">
        <v>573</v>
      </c>
      <c r="Q207" s="22">
        <f>COUNTIF('LOCATION RESPONSES'!B:B,B180)
</f>
        <v>1</v>
      </c>
      <c r="R207" s="22">
        <f>COUNTIF('LOCATION RESPONSES'!B:B,B187)
</f>
        <v>1</v>
      </c>
    </row>
    <row r="208" ht="22.5" customHeight="1">
      <c r="A208" s="4">
        <v>46029.621554722224</v>
      </c>
      <c r="B208" s="6" t="s">
        <v>579</v>
      </c>
      <c r="C208" s="6">
        <v>6.913345E9</v>
      </c>
      <c r="E208" s="9" t="s">
        <v>580</v>
      </c>
      <c r="F208" s="6" t="s">
        <v>22</v>
      </c>
      <c r="G208" s="6" t="s">
        <v>88</v>
      </c>
      <c r="H208" s="6" t="s">
        <v>18</v>
      </c>
      <c r="I208" s="6" t="s">
        <v>19</v>
      </c>
      <c r="J208" s="6" t="s">
        <v>79</v>
      </c>
      <c r="K208" s="6" t="s">
        <v>65</v>
      </c>
      <c r="L208" s="6" t="s">
        <v>81</v>
      </c>
      <c r="N208" s="6" t="s">
        <v>571</v>
      </c>
      <c r="Q208" s="22">
        <f>COUNTIF('LOCATION RESPONSES'!B:B,B181)
</f>
        <v>1</v>
      </c>
      <c r="R208" s="22">
        <f>COUNTIF('LOCATION RESPONSES'!B:B,B188)
</f>
        <v>1</v>
      </c>
    </row>
    <row r="209" ht="22.5" customHeight="1">
      <c r="A209" s="4">
        <v>46029.626200196755</v>
      </c>
      <c r="B209" s="6" t="s">
        <v>581</v>
      </c>
      <c r="C209" s="6">
        <v>9.878111079E9</v>
      </c>
      <c r="E209" s="9" t="s">
        <v>582</v>
      </c>
      <c r="F209" s="6" t="s">
        <v>77</v>
      </c>
      <c r="G209" s="6" t="s">
        <v>88</v>
      </c>
      <c r="H209" s="6" t="s">
        <v>18</v>
      </c>
      <c r="I209" s="6" t="s">
        <v>19</v>
      </c>
      <c r="J209" s="6" t="s">
        <v>79</v>
      </c>
      <c r="K209" s="6" t="s">
        <v>583</v>
      </c>
      <c r="L209" s="6" t="s">
        <v>85</v>
      </c>
      <c r="N209" s="6" t="s">
        <v>571</v>
      </c>
      <c r="Q209" s="22">
        <f>COUNTIF('LOCATION RESPONSES'!B:B,B182)
</f>
        <v>1</v>
      </c>
      <c r="R209" s="22">
        <f>COUNTIF('LOCATION RESPONSES'!B:B,B189)
</f>
        <v>1</v>
      </c>
    </row>
    <row r="210" ht="22.5" customHeight="1">
      <c r="A210" s="4">
        <v>46029.681475543985</v>
      </c>
      <c r="B210" s="6" t="s">
        <v>584</v>
      </c>
      <c r="C210" s="6">
        <v>9.365701893E9</v>
      </c>
      <c r="E210" s="9" t="s">
        <v>585</v>
      </c>
      <c r="F210" s="6" t="s">
        <v>22</v>
      </c>
      <c r="G210" s="6" t="s">
        <v>88</v>
      </c>
      <c r="H210" s="6" t="s">
        <v>18</v>
      </c>
      <c r="I210" s="6" t="s">
        <v>19</v>
      </c>
      <c r="J210" s="6" t="s">
        <v>79</v>
      </c>
      <c r="K210" s="6" t="s">
        <v>586</v>
      </c>
      <c r="L210" s="6" t="s">
        <v>81</v>
      </c>
      <c r="N210" s="6" t="s">
        <v>571</v>
      </c>
      <c r="Q210" s="22">
        <f>COUNTIF('LOCATION RESPONSES'!B:B,B183)
</f>
        <v>1</v>
      </c>
      <c r="R210" s="22">
        <f>COUNTIF('LOCATION RESPONSES'!B:B,B190)
</f>
        <v>1</v>
      </c>
    </row>
    <row r="211" ht="22.5" customHeight="1">
      <c r="A211" s="4">
        <v>46029.68579461805</v>
      </c>
      <c r="B211" s="6" t="s">
        <v>587</v>
      </c>
      <c r="C211" s="6">
        <v>8.723853047E9</v>
      </c>
      <c r="E211" s="9" t="s">
        <v>588</v>
      </c>
      <c r="F211" s="6" t="s">
        <v>22</v>
      </c>
      <c r="H211" s="6" t="s">
        <v>18</v>
      </c>
      <c r="I211" s="6" t="s">
        <v>19</v>
      </c>
      <c r="J211" s="6" t="s">
        <v>79</v>
      </c>
      <c r="K211" s="6" t="s">
        <v>40</v>
      </c>
      <c r="L211" s="6" t="s">
        <v>102</v>
      </c>
      <c r="M211" s="21">
        <v>46029.0</v>
      </c>
      <c r="N211" s="6" t="s">
        <v>571</v>
      </c>
      <c r="Q211" s="22">
        <f>COUNTIF('LOCATION RESPONSES'!B:B,B184)
</f>
        <v>0</v>
      </c>
      <c r="R211" s="22">
        <f>COUNTIF('LOCATION RESPONSES'!B:B,B191)
</f>
        <v>1</v>
      </c>
    </row>
    <row r="212" ht="22.5" customHeight="1">
      <c r="A212" s="4">
        <v>46029.69201021991</v>
      </c>
      <c r="B212" s="6" t="s">
        <v>589</v>
      </c>
      <c r="C212" s="6">
        <v>9.508840993E9</v>
      </c>
      <c r="E212" s="9" t="s">
        <v>590</v>
      </c>
      <c r="F212" s="6" t="s">
        <v>22</v>
      </c>
      <c r="H212" s="6" t="s">
        <v>18</v>
      </c>
      <c r="I212" s="6" t="s">
        <v>19</v>
      </c>
      <c r="J212" s="6" t="s">
        <v>79</v>
      </c>
      <c r="K212" s="6" t="s">
        <v>591</v>
      </c>
      <c r="L212" s="6" t="s">
        <v>81</v>
      </c>
      <c r="N212" s="6" t="s">
        <v>571</v>
      </c>
      <c r="Q212" s="22">
        <f>COUNTIF('LOCATION RESPONSES'!B:B,B185)
</f>
        <v>2</v>
      </c>
      <c r="R212" s="22">
        <f>COUNTIF('LOCATION RESPONSES'!B:B,B192)
</f>
        <v>0</v>
      </c>
    </row>
    <row r="213" ht="22.5" customHeight="1">
      <c r="A213" s="4">
        <v>46029.709043877316</v>
      </c>
      <c r="B213" s="6" t="s">
        <v>592</v>
      </c>
      <c r="C213" s="6">
        <v>7.099030771E9</v>
      </c>
      <c r="E213" s="9" t="s">
        <v>593</v>
      </c>
      <c r="F213" s="6" t="s">
        <v>77</v>
      </c>
      <c r="H213" s="6" t="s">
        <v>18</v>
      </c>
      <c r="I213" s="6" t="s">
        <v>19</v>
      </c>
      <c r="J213" s="6" t="s">
        <v>79</v>
      </c>
      <c r="K213" s="6" t="s">
        <v>594</v>
      </c>
      <c r="L213" s="6" t="s">
        <v>85</v>
      </c>
      <c r="N213" s="6" t="s">
        <v>571</v>
      </c>
      <c r="Q213" s="22">
        <f>COUNTIF('LOCATION RESPONSES'!B:B,B186)
</f>
        <v>1</v>
      </c>
      <c r="R213" s="22">
        <f>COUNTIF('LOCATION RESPONSES'!B:B,B193)
</f>
        <v>1</v>
      </c>
    </row>
    <row r="214" ht="22.5" customHeight="1">
      <c r="A214" s="4">
        <v>46029.711408958334</v>
      </c>
      <c r="B214" s="6" t="s">
        <v>595</v>
      </c>
      <c r="C214" s="6" t="s">
        <v>88</v>
      </c>
      <c r="E214" s="9" t="s">
        <v>596</v>
      </c>
      <c r="F214" s="6" t="s">
        <v>22</v>
      </c>
      <c r="G214" s="6" t="s">
        <v>88</v>
      </c>
      <c r="H214" s="6" t="s">
        <v>18</v>
      </c>
      <c r="I214" s="6" t="s">
        <v>19</v>
      </c>
      <c r="J214" s="6" t="s">
        <v>79</v>
      </c>
      <c r="K214" s="6" t="s">
        <v>597</v>
      </c>
      <c r="L214" s="6" t="s">
        <v>310</v>
      </c>
      <c r="N214" s="6" t="s">
        <v>573</v>
      </c>
      <c r="Q214" s="22">
        <f>COUNTIF('LOCATION RESPONSES'!B:B,B187)
</f>
        <v>1</v>
      </c>
      <c r="R214" s="22">
        <f>COUNTIF('LOCATION RESPONSES'!B:B,B194)
</f>
        <v>0</v>
      </c>
    </row>
    <row r="215" ht="22.5" customHeight="1">
      <c r="A215" s="4">
        <v>46029.72154587963</v>
      </c>
      <c r="B215" s="6" t="s">
        <v>598</v>
      </c>
      <c r="C215" s="23" t="s">
        <v>599</v>
      </c>
      <c r="E215" s="9" t="s">
        <v>600</v>
      </c>
      <c r="F215" s="6" t="s">
        <v>77</v>
      </c>
      <c r="G215" s="6" t="s">
        <v>88</v>
      </c>
      <c r="H215" s="6" t="s">
        <v>18</v>
      </c>
      <c r="I215" s="6" t="s">
        <v>24</v>
      </c>
      <c r="J215" s="6" t="s">
        <v>79</v>
      </c>
      <c r="K215" s="6" t="s">
        <v>40</v>
      </c>
      <c r="L215" s="6" t="s">
        <v>102</v>
      </c>
      <c r="N215" s="6" t="s">
        <v>571</v>
      </c>
      <c r="Q215" s="22">
        <f>COUNTIF('LOCATION RESPONSES'!B:B,B188)
</f>
        <v>1</v>
      </c>
      <c r="R215" s="22">
        <f>COUNTIF('LOCATION RESPONSES'!B:B,B195)
</f>
        <v>1</v>
      </c>
    </row>
    <row r="216" ht="22.5" customHeight="1">
      <c r="A216" s="4">
        <v>46029.735684259256</v>
      </c>
      <c r="B216" s="6" t="s">
        <v>601</v>
      </c>
      <c r="C216" s="6">
        <v>7.099030122E9</v>
      </c>
      <c r="E216" s="9" t="s">
        <v>602</v>
      </c>
      <c r="F216" s="6" t="s">
        <v>22</v>
      </c>
      <c r="G216" s="6" t="s">
        <v>88</v>
      </c>
      <c r="H216" s="6" t="s">
        <v>18</v>
      </c>
      <c r="I216" s="6" t="s">
        <v>19</v>
      </c>
      <c r="J216" s="6" t="s">
        <v>79</v>
      </c>
      <c r="K216" s="6" t="s">
        <v>603</v>
      </c>
      <c r="L216" s="6" t="s">
        <v>85</v>
      </c>
      <c r="N216" s="6" t="s">
        <v>571</v>
      </c>
      <c r="Q216" s="22">
        <f>COUNTIF('LOCATION RESPONSES'!B:B,B189)
</f>
        <v>1</v>
      </c>
      <c r="R216" s="22">
        <f>COUNTIF('LOCATION RESPONSES'!B:B,B196)
</f>
        <v>1</v>
      </c>
    </row>
    <row r="217" ht="22.5" customHeight="1">
      <c r="A217" s="4">
        <v>46029.75029972222</v>
      </c>
      <c r="B217" s="6" t="s">
        <v>604</v>
      </c>
      <c r="C217" s="6">
        <v>9.101604248E9</v>
      </c>
      <c r="E217" s="9" t="s">
        <v>605</v>
      </c>
      <c r="F217" s="6" t="s">
        <v>77</v>
      </c>
      <c r="G217" s="6" t="s">
        <v>88</v>
      </c>
      <c r="H217" s="6" t="s">
        <v>18</v>
      </c>
      <c r="I217" s="6" t="s">
        <v>19</v>
      </c>
      <c r="J217" s="6" t="s">
        <v>79</v>
      </c>
      <c r="K217" s="6" t="s">
        <v>40</v>
      </c>
      <c r="L217" s="6" t="s">
        <v>85</v>
      </c>
      <c r="N217" s="6" t="s">
        <v>571</v>
      </c>
      <c r="Q217" s="22">
        <f>COUNTIF('LOCATION RESPONSES'!B:B,B190)
</f>
        <v>1</v>
      </c>
      <c r="R217" s="22">
        <f>COUNTIF('LOCATION RESPONSES'!B:B,B197)
</f>
        <v>3</v>
      </c>
    </row>
    <row r="218" ht="22.5" customHeight="1">
      <c r="A218" s="4">
        <v>46030.51874046296</v>
      </c>
      <c r="B218" s="6" t="s">
        <v>606</v>
      </c>
      <c r="C218" s="6" t="s">
        <v>607</v>
      </c>
      <c r="E218" s="9" t="s">
        <v>608</v>
      </c>
      <c r="F218" s="6" t="s">
        <v>22</v>
      </c>
      <c r="G218" s="6" t="s">
        <v>88</v>
      </c>
      <c r="H218" s="6" t="s">
        <v>18</v>
      </c>
      <c r="I218" s="6" t="s">
        <v>24</v>
      </c>
      <c r="J218" s="6" t="s">
        <v>79</v>
      </c>
      <c r="K218" s="6" t="s">
        <v>609</v>
      </c>
      <c r="N218" s="6" t="s">
        <v>573</v>
      </c>
      <c r="Q218" s="22">
        <f>COUNTIF('LOCATION RESPONSES'!B:B,B191)
</f>
        <v>1</v>
      </c>
      <c r="R218" s="22">
        <f>COUNTIF('LOCATION RESPONSES'!B:B,B198)
</f>
        <v>1</v>
      </c>
    </row>
    <row r="219" ht="22.5" customHeight="1">
      <c r="A219" s="4">
        <v>46030.52761784723</v>
      </c>
      <c r="B219" s="6" t="s">
        <v>610</v>
      </c>
      <c r="C219" s="6" t="s">
        <v>611</v>
      </c>
      <c r="E219" s="9" t="s">
        <v>612</v>
      </c>
      <c r="F219" s="6" t="s">
        <v>22</v>
      </c>
      <c r="G219" s="6" t="s">
        <v>88</v>
      </c>
      <c r="H219" s="6" t="s">
        <v>18</v>
      </c>
      <c r="I219" s="6" t="s">
        <v>24</v>
      </c>
      <c r="J219" s="6" t="s">
        <v>79</v>
      </c>
      <c r="K219" s="6" t="s">
        <v>374</v>
      </c>
      <c r="L219" s="6" t="s">
        <v>85</v>
      </c>
      <c r="N219" s="6" t="s">
        <v>573</v>
      </c>
      <c r="Q219" s="22">
        <f>COUNTIF('LOCATION RESPONSES'!B:B,B192)
</f>
        <v>0</v>
      </c>
      <c r="R219" s="22">
        <f>COUNTIF('LOCATION RESPONSES'!B:B,B199)
</f>
        <v>1</v>
      </c>
    </row>
    <row r="220" ht="22.5" customHeight="1">
      <c r="A220" s="4">
        <v>46030.54935634259</v>
      </c>
      <c r="B220" s="6" t="s">
        <v>613</v>
      </c>
      <c r="C220" s="6">
        <v>8.822127015E9</v>
      </c>
      <c r="E220" s="9" t="s">
        <v>614</v>
      </c>
      <c r="F220" s="6" t="s">
        <v>22</v>
      </c>
      <c r="G220" s="6" t="s">
        <v>88</v>
      </c>
      <c r="H220" s="6" t="s">
        <v>18</v>
      </c>
      <c r="I220" s="6" t="s">
        <v>19</v>
      </c>
      <c r="J220" s="6" t="s">
        <v>79</v>
      </c>
      <c r="K220" s="6" t="s">
        <v>615</v>
      </c>
      <c r="L220" s="6" t="s">
        <v>85</v>
      </c>
      <c r="N220" s="6" t="s">
        <v>571</v>
      </c>
      <c r="Q220" s="22">
        <f>COUNTIF('LOCATION RESPONSES'!B:B,B193)
</f>
        <v>1</v>
      </c>
      <c r="R220" s="22">
        <f>COUNTIF('LOCATION RESPONSES'!B:B,B200)
</f>
        <v>1</v>
      </c>
    </row>
    <row r="221" ht="22.5" customHeight="1">
      <c r="A221" s="4">
        <v>46030.560528368056</v>
      </c>
      <c r="B221" s="6" t="s">
        <v>616</v>
      </c>
      <c r="C221" s="6">
        <v>7.00258166E9</v>
      </c>
      <c r="E221" s="9" t="s">
        <v>617</v>
      </c>
      <c r="F221" s="6" t="s">
        <v>22</v>
      </c>
      <c r="G221" s="6" t="s">
        <v>618</v>
      </c>
      <c r="H221" s="6" t="s">
        <v>18</v>
      </c>
      <c r="I221" s="6" t="s">
        <v>19</v>
      </c>
      <c r="J221" s="6" t="s">
        <v>79</v>
      </c>
      <c r="K221" s="6" t="s">
        <v>619</v>
      </c>
      <c r="N221" s="6" t="s">
        <v>571</v>
      </c>
      <c r="Q221" s="22">
        <f>COUNTIF('LOCATION RESPONSES'!B:B,B194)
</f>
        <v>0</v>
      </c>
      <c r="R221" s="22">
        <f>COUNTIF('LOCATION RESPONSES'!B:B,B201)
</f>
        <v>1</v>
      </c>
    </row>
    <row r="222" ht="22.5" customHeight="1">
      <c r="A222" s="4">
        <v>46030.571752800926</v>
      </c>
      <c r="B222" s="6" t="s">
        <v>620</v>
      </c>
      <c r="C222" s="6">
        <v>7.637842825E9</v>
      </c>
      <c r="E222" s="9" t="s">
        <v>621</v>
      </c>
      <c r="F222" s="6" t="s">
        <v>22</v>
      </c>
      <c r="G222" s="6" t="s">
        <v>88</v>
      </c>
      <c r="H222" s="6" t="s">
        <v>18</v>
      </c>
      <c r="I222" s="6" t="s">
        <v>19</v>
      </c>
      <c r="J222" s="6" t="s">
        <v>79</v>
      </c>
      <c r="K222" s="6" t="s">
        <v>28</v>
      </c>
      <c r="L222" s="6" t="s">
        <v>85</v>
      </c>
      <c r="N222" s="6" t="s">
        <v>571</v>
      </c>
      <c r="Q222" s="22">
        <f>COUNTIF('LOCATION RESPONSES'!B:B,B195)
</f>
        <v>1</v>
      </c>
      <c r="R222" s="22">
        <f>COUNTIF('LOCATION RESPONSES'!B:B,B202)
</f>
        <v>0</v>
      </c>
    </row>
    <row r="223" ht="22.5" customHeight="1">
      <c r="A223" s="4">
        <v>46030.657893923606</v>
      </c>
      <c r="B223" s="6" t="s">
        <v>622</v>
      </c>
      <c r="C223" s="6" t="s">
        <v>623</v>
      </c>
      <c r="E223" s="9" t="s">
        <v>624</v>
      </c>
      <c r="F223" s="6" t="s">
        <v>22</v>
      </c>
      <c r="H223" s="6" t="s">
        <v>18</v>
      </c>
      <c r="I223" s="6" t="s">
        <v>24</v>
      </c>
      <c r="J223" s="6" t="s">
        <v>79</v>
      </c>
      <c r="K223" s="6" t="s">
        <v>88</v>
      </c>
      <c r="L223" s="6" t="s">
        <v>85</v>
      </c>
      <c r="N223" s="6" t="s">
        <v>573</v>
      </c>
      <c r="Q223" s="22">
        <f>COUNTIF('LOCATION RESPONSES'!B:B,B196)
</f>
        <v>1</v>
      </c>
      <c r="R223" s="22">
        <f>COUNTIF('LOCATION RESPONSES'!B:B,B203)
</f>
        <v>1</v>
      </c>
    </row>
    <row r="224" ht="22.5" customHeight="1">
      <c r="A224" s="4">
        <v>46030.66963609954</v>
      </c>
      <c r="B224" s="6" t="s">
        <v>625</v>
      </c>
      <c r="C224" s="6">
        <v>9.864073501E9</v>
      </c>
      <c r="E224" s="9" t="s">
        <v>626</v>
      </c>
      <c r="F224" s="6" t="s">
        <v>22</v>
      </c>
      <c r="G224" s="6" t="s">
        <v>88</v>
      </c>
      <c r="H224" s="6" t="s">
        <v>18</v>
      </c>
      <c r="I224" s="6" t="s">
        <v>24</v>
      </c>
      <c r="J224" s="6" t="s">
        <v>79</v>
      </c>
      <c r="K224" s="6" t="s">
        <v>257</v>
      </c>
      <c r="L224" s="6" t="s">
        <v>310</v>
      </c>
      <c r="N224" s="6" t="s">
        <v>571</v>
      </c>
      <c r="Q224" s="22">
        <f>COUNTIF('LOCATION RESPONSES'!B:B,B197)
</f>
        <v>3</v>
      </c>
      <c r="R224" s="22">
        <f>COUNTIF('LOCATION RESPONSES'!B:B,B204)
</f>
        <v>1</v>
      </c>
    </row>
    <row r="225" ht="22.5" customHeight="1">
      <c r="A225" s="4">
        <v>46030.673988553244</v>
      </c>
      <c r="B225" s="6" t="s">
        <v>627</v>
      </c>
      <c r="C225" s="6" t="s">
        <v>623</v>
      </c>
      <c r="E225" s="9" t="s">
        <v>628</v>
      </c>
      <c r="F225" s="6" t="s">
        <v>508</v>
      </c>
      <c r="G225" s="6" t="s">
        <v>88</v>
      </c>
      <c r="H225" s="6" t="s">
        <v>18</v>
      </c>
      <c r="I225" s="6" t="s">
        <v>24</v>
      </c>
      <c r="J225" s="6" t="s">
        <v>79</v>
      </c>
      <c r="K225" s="6" t="s">
        <v>629</v>
      </c>
      <c r="L225" s="6" t="s">
        <v>85</v>
      </c>
      <c r="N225" s="6" t="s">
        <v>573</v>
      </c>
      <c r="Q225" s="22">
        <f>COUNTIF('LOCATION RESPONSES'!B:B,B198)
</f>
        <v>1</v>
      </c>
      <c r="R225" s="22">
        <f>COUNTIF('LOCATION RESPONSES'!B:B,B205)
</f>
        <v>3</v>
      </c>
    </row>
    <row r="226" ht="22.5" customHeight="1">
      <c r="A226" s="4">
        <v>46030.68468016204</v>
      </c>
      <c r="B226" s="6" t="s">
        <v>630</v>
      </c>
      <c r="C226" s="6">
        <v>9.707997224E9</v>
      </c>
      <c r="E226" s="9" t="s">
        <v>631</v>
      </c>
      <c r="F226" s="6" t="s">
        <v>77</v>
      </c>
      <c r="G226" s="6" t="s">
        <v>88</v>
      </c>
      <c r="H226" s="6" t="s">
        <v>18</v>
      </c>
      <c r="I226" s="6" t="s">
        <v>19</v>
      </c>
      <c r="J226" s="6" t="s">
        <v>79</v>
      </c>
      <c r="K226" s="6" t="s">
        <v>159</v>
      </c>
      <c r="L226" s="6" t="s">
        <v>102</v>
      </c>
      <c r="M226" s="21">
        <v>46030.0</v>
      </c>
      <c r="N226" s="6" t="s">
        <v>571</v>
      </c>
      <c r="Q226" s="22">
        <f>COUNTIF('LOCATION RESPONSES'!B:B,B199)
</f>
        <v>1</v>
      </c>
      <c r="R226" s="22">
        <f>COUNTIF('LOCATION RESPONSES'!B:B,B206)
</f>
        <v>1</v>
      </c>
    </row>
    <row r="227" ht="22.5" customHeight="1">
      <c r="A227" s="4">
        <v>46030.69340765046</v>
      </c>
      <c r="B227" s="6" t="s">
        <v>632</v>
      </c>
      <c r="C227" s="6">
        <v>7.506432139E9</v>
      </c>
      <c r="E227" s="9" t="s">
        <v>633</v>
      </c>
      <c r="F227" s="6" t="s">
        <v>22</v>
      </c>
      <c r="G227" s="6" t="s">
        <v>374</v>
      </c>
      <c r="H227" s="6" t="s">
        <v>18</v>
      </c>
      <c r="I227" s="6" t="s">
        <v>19</v>
      </c>
      <c r="J227" s="6" t="s">
        <v>79</v>
      </c>
      <c r="K227" s="6" t="s">
        <v>634</v>
      </c>
      <c r="L227" s="6" t="s">
        <v>81</v>
      </c>
      <c r="N227" s="6" t="s">
        <v>571</v>
      </c>
      <c r="Q227" s="22">
        <f>COUNTIF('LOCATION RESPONSES'!B:B,B200)
</f>
        <v>1</v>
      </c>
      <c r="R227" s="22">
        <f>COUNTIF('LOCATION RESPONSES'!B:B,B207)
</f>
        <v>1</v>
      </c>
    </row>
    <row r="228" ht="22.5" customHeight="1">
      <c r="A228" s="4">
        <v>46030.70194108796</v>
      </c>
      <c r="B228" s="6" t="s">
        <v>635</v>
      </c>
      <c r="C228" s="6" t="s">
        <v>88</v>
      </c>
      <c r="E228" s="9" t="s">
        <v>636</v>
      </c>
      <c r="F228" s="6" t="s">
        <v>77</v>
      </c>
      <c r="G228" s="6" t="s">
        <v>88</v>
      </c>
      <c r="H228" s="6" t="s">
        <v>18</v>
      </c>
      <c r="I228" s="6" t="s">
        <v>19</v>
      </c>
      <c r="J228" s="6" t="s">
        <v>79</v>
      </c>
      <c r="K228" s="6" t="s">
        <v>637</v>
      </c>
      <c r="L228" s="6" t="s">
        <v>85</v>
      </c>
      <c r="N228" s="6" t="s">
        <v>571</v>
      </c>
      <c r="Q228" s="22">
        <f>COUNTIF('LOCATION RESPONSES'!B:B,B201)
</f>
        <v>1</v>
      </c>
      <c r="R228" s="22">
        <f>COUNTIF('LOCATION RESPONSES'!B:B,B208)
</f>
        <v>1</v>
      </c>
    </row>
    <row r="229" ht="22.5" customHeight="1">
      <c r="A229" s="4">
        <v>46030.71018098379</v>
      </c>
      <c r="B229" s="6" t="s">
        <v>638</v>
      </c>
      <c r="C229" s="6">
        <v>9.127098E9</v>
      </c>
      <c r="E229" s="9" t="s">
        <v>639</v>
      </c>
      <c r="F229" s="6" t="s">
        <v>22</v>
      </c>
      <c r="G229" s="6" t="s">
        <v>88</v>
      </c>
      <c r="H229" s="6" t="s">
        <v>18</v>
      </c>
      <c r="I229" s="6" t="s">
        <v>19</v>
      </c>
      <c r="J229" s="6" t="s">
        <v>79</v>
      </c>
      <c r="K229" s="6" t="s">
        <v>640</v>
      </c>
      <c r="L229" s="6" t="s">
        <v>85</v>
      </c>
      <c r="N229" s="6" t="s">
        <v>571</v>
      </c>
      <c r="Q229" s="22">
        <f>COUNTIF('LOCATION RESPONSES'!B:B,B202)
</f>
        <v>0</v>
      </c>
      <c r="R229" s="22">
        <f>COUNTIF('LOCATION RESPONSES'!B:B,B209)
</f>
        <v>0</v>
      </c>
    </row>
    <row r="230" ht="22.5" customHeight="1">
      <c r="A230" s="4">
        <v>46030.72031225695</v>
      </c>
      <c r="B230" s="6" t="s">
        <v>641</v>
      </c>
      <c r="C230" s="6" t="s">
        <v>88</v>
      </c>
      <c r="E230" s="9" t="s">
        <v>642</v>
      </c>
      <c r="F230" s="6" t="s">
        <v>77</v>
      </c>
      <c r="G230" s="6" t="s">
        <v>88</v>
      </c>
      <c r="H230" s="6" t="s">
        <v>18</v>
      </c>
      <c r="I230" s="6" t="s">
        <v>19</v>
      </c>
      <c r="J230" s="6" t="s">
        <v>79</v>
      </c>
      <c r="K230" s="6" t="s">
        <v>643</v>
      </c>
      <c r="L230" s="6" t="s">
        <v>102</v>
      </c>
      <c r="M230" s="21">
        <v>46030.0</v>
      </c>
      <c r="N230" s="6" t="s">
        <v>571</v>
      </c>
      <c r="Q230" s="22">
        <f>COUNTIF('LOCATION RESPONSES'!B:B,B203)
</f>
        <v>1</v>
      </c>
      <c r="R230" s="22">
        <f>COUNTIF('LOCATION RESPONSES'!B:B,B210)
</f>
        <v>1</v>
      </c>
    </row>
    <row r="231" ht="22.5" customHeight="1">
      <c r="A231" s="4">
        <v>46031.58647002315</v>
      </c>
      <c r="B231" s="6" t="s">
        <v>644</v>
      </c>
      <c r="C231" s="6">
        <v>9.535350637E9</v>
      </c>
      <c r="E231" s="9" t="s">
        <v>645</v>
      </c>
      <c r="F231" s="6" t="s">
        <v>43</v>
      </c>
      <c r="G231" s="6" t="s">
        <v>88</v>
      </c>
      <c r="H231" s="6" t="s">
        <v>18</v>
      </c>
      <c r="I231" s="6" t="s">
        <v>19</v>
      </c>
      <c r="J231" s="6" t="s">
        <v>79</v>
      </c>
      <c r="K231" s="6" t="s">
        <v>646</v>
      </c>
      <c r="N231" s="6" t="s">
        <v>571</v>
      </c>
      <c r="Q231" s="22">
        <f>COUNTIF('LOCATION RESPONSES'!B:B,B204)
</f>
        <v>1</v>
      </c>
      <c r="R231" s="22">
        <f>COUNTIF('LOCATION RESPONSES'!B:B,B211)
</f>
        <v>0</v>
      </c>
    </row>
    <row r="232" ht="22.5" customHeight="1">
      <c r="A232" s="4">
        <v>46031.58862545139</v>
      </c>
      <c r="B232" s="6" t="s">
        <v>647</v>
      </c>
      <c r="C232" s="6" t="s">
        <v>648</v>
      </c>
      <c r="E232" s="9" t="s">
        <v>649</v>
      </c>
      <c r="F232" s="6" t="s">
        <v>77</v>
      </c>
      <c r="G232" s="6" t="s">
        <v>88</v>
      </c>
      <c r="H232" s="6" t="s">
        <v>18</v>
      </c>
      <c r="I232" s="6" t="s">
        <v>19</v>
      </c>
      <c r="J232" s="6" t="s">
        <v>79</v>
      </c>
      <c r="K232" s="6" t="s">
        <v>40</v>
      </c>
      <c r="L232" s="6" t="s">
        <v>85</v>
      </c>
      <c r="N232" s="6" t="s">
        <v>571</v>
      </c>
      <c r="Q232" s="22">
        <f>COUNTIF('LOCATION RESPONSES'!B:B,B205)
</f>
        <v>3</v>
      </c>
      <c r="R232" s="22">
        <f>COUNTIF('LOCATION RESPONSES'!B:B,B212)
</f>
        <v>0</v>
      </c>
    </row>
    <row r="233" ht="22.5" customHeight="1">
      <c r="A233" s="4">
        <v>46031.606381527774</v>
      </c>
      <c r="B233" s="6" t="s">
        <v>650</v>
      </c>
      <c r="C233" s="6">
        <v>6.001958085E9</v>
      </c>
      <c r="E233" s="9" t="s">
        <v>651</v>
      </c>
      <c r="F233" s="6" t="s">
        <v>77</v>
      </c>
      <c r="G233" s="6" t="s">
        <v>88</v>
      </c>
      <c r="H233" s="6" t="s">
        <v>18</v>
      </c>
      <c r="I233" s="6" t="s">
        <v>19</v>
      </c>
      <c r="J233" s="6" t="s">
        <v>79</v>
      </c>
      <c r="K233" s="6" t="s">
        <v>115</v>
      </c>
      <c r="L233" s="6" t="s">
        <v>102</v>
      </c>
      <c r="M233" s="21">
        <v>46031.0</v>
      </c>
      <c r="N233" s="6" t="s">
        <v>571</v>
      </c>
      <c r="Q233" s="22">
        <f>COUNTIF('LOCATION RESPONSES'!B:B,B206)
</f>
        <v>1</v>
      </c>
      <c r="R233" s="22">
        <f>COUNTIF('LOCATION RESPONSES'!B:B,B213)
</f>
        <v>1</v>
      </c>
    </row>
    <row r="234" ht="22.5" customHeight="1">
      <c r="A234" s="4">
        <v>46031.60758597222</v>
      </c>
      <c r="B234" s="6" t="s">
        <v>652</v>
      </c>
      <c r="C234" s="6" t="s">
        <v>88</v>
      </c>
      <c r="E234" s="9" t="s">
        <v>653</v>
      </c>
      <c r="F234" s="6" t="s">
        <v>77</v>
      </c>
      <c r="G234" s="6" t="s">
        <v>88</v>
      </c>
      <c r="H234" s="6" t="s">
        <v>18</v>
      </c>
      <c r="I234" s="6" t="s">
        <v>19</v>
      </c>
      <c r="J234" s="6" t="s">
        <v>79</v>
      </c>
      <c r="K234" s="6" t="s">
        <v>40</v>
      </c>
      <c r="L234" s="6" t="s">
        <v>85</v>
      </c>
      <c r="N234" s="6" t="s">
        <v>571</v>
      </c>
      <c r="Q234" s="22">
        <f>COUNTIF('LOCATION RESPONSES'!B:B,B207)
</f>
        <v>1</v>
      </c>
      <c r="R234" s="22">
        <f>COUNTIF('LOCATION RESPONSES'!B:B,B214)
</f>
        <v>0</v>
      </c>
    </row>
    <row r="235" ht="22.5" customHeight="1">
      <c r="A235" s="4">
        <v>46031.60933905093</v>
      </c>
      <c r="B235" s="6" t="s">
        <v>654</v>
      </c>
      <c r="C235" s="6" t="s">
        <v>88</v>
      </c>
      <c r="E235" s="9" t="s">
        <v>655</v>
      </c>
      <c r="F235" s="6" t="s">
        <v>77</v>
      </c>
      <c r="G235" s="6" t="s">
        <v>88</v>
      </c>
      <c r="H235" s="6" t="s">
        <v>18</v>
      </c>
      <c r="I235" s="6" t="s">
        <v>19</v>
      </c>
      <c r="J235" s="6" t="s">
        <v>79</v>
      </c>
      <c r="K235" s="6" t="s">
        <v>40</v>
      </c>
      <c r="L235" s="6" t="s">
        <v>85</v>
      </c>
      <c r="N235" s="6" t="s">
        <v>571</v>
      </c>
      <c r="Q235" s="22">
        <f>COUNTIF('LOCATION RESPONSES'!B:B,B208)
</f>
        <v>1</v>
      </c>
      <c r="R235" s="22">
        <f>COUNTIF('LOCATION RESPONSES'!B:B,B215)
</f>
        <v>1</v>
      </c>
    </row>
    <row r="236" ht="22.5" customHeight="1">
      <c r="A236" s="4">
        <v>46031.610734016205</v>
      </c>
      <c r="B236" s="6" t="s">
        <v>656</v>
      </c>
      <c r="C236" s="6">
        <v>9.90245766E9</v>
      </c>
      <c r="E236" s="9" t="s">
        <v>657</v>
      </c>
      <c r="F236" s="6" t="s">
        <v>77</v>
      </c>
      <c r="G236" s="6" t="s">
        <v>88</v>
      </c>
      <c r="H236" s="6" t="s">
        <v>18</v>
      </c>
      <c r="I236" s="6" t="s">
        <v>19</v>
      </c>
      <c r="J236" s="6" t="s">
        <v>79</v>
      </c>
      <c r="K236" s="6" t="s">
        <v>88</v>
      </c>
      <c r="L236" s="6" t="s">
        <v>85</v>
      </c>
      <c r="N236" s="6" t="s">
        <v>571</v>
      </c>
      <c r="Q236" s="22">
        <f>COUNTIF('LOCATION RESPONSES'!B:B,B209)
</f>
        <v>0</v>
      </c>
      <c r="R236" s="22">
        <f>COUNTIF('LOCATION RESPONSES'!B:B,B216)
</f>
        <v>2</v>
      </c>
    </row>
    <row r="237" ht="22.5" customHeight="1">
      <c r="A237" s="4">
        <v>46031.61410893519</v>
      </c>
      <c r="B237" s="6" t="s">
        <v>658</v>
      </c>
      <c r="C237" s="6">
        <v>8.399942432E9</v>
      </c>
      <c r="E237" s="9" t="s">
        <v>659</v>
      </c>
      <c r="F237" s="6" t="s">
        <v>77</v>
      </c>
      <c r="G237" s="6" t="s">
        <v>88</v>
      </c>
      <c r="H237" s="6" t="s">
        <v>18</v>
      </c>
      <c r="I237" s="6" t="s">
        <v>19</v>
      </c>
      <c r="J237" s="6" t="s">
        <v>79</v>
      </c>
      <c r="K237" s="6" t="s">
        <v>40</v>
      </c>
      <c r="L237" s="6" t="s">
        <v>85</v>
      </c>
      <c r="N237" s="6" t="s">
        <v>571</v>
      </c>
      <c r="Q237" s="22">
        <f>COUNTIF('LOCATION RESPONSES'!B:B,B210)
</f>
        <v>1</v>
      </c>
      <c r="R237" s="22">
        <f>COUNTIF('LOCATION RESPONSES'!B:B,B217)
</f>
        <v>1</v>
      </c>
    </row>
    <row r="238" ht="22.5" customHeight="1">
      <c r="A238" s="4">
        <v>46031.61603638889</v>
      </c>
      <c r="B238" s="6" t="s">
        <v>660</v>
      </c>
      <c r="C238" s="6" t="s">
        <v>88</v>
      </c>
      <c r="E238" s="9" t="s">
        <v>661</v>
      </c>
      <c r="F238" s="6" t="s">
        <v>77</v>
      </c>
      <c r="G238" s="6" t="s">
        <v>88</v>
      </c>
      <c r="H238" s="6" t="s">
        <v>18</v>
      </c>
      <c r="I238" s="6" t="s">
        <v>19</v>
      </c>
      <c r="J238" s="6" t="s">
        <v>79</v>
      </c>
      <c r="K238" s="6" t="s">
        <v>40</v>
      </c>
      <c r="N238" s="6" t="s">
        <v>571</v>
      </c>
      <c r="Q238" s="22">
        <f>COUNTIF('LOCATION RESPONSES'!B:B,B211)
</f>
        <v>0</v>
      </c>
      <c r="R238" s="22">
        <f>COUNTIF('LOCATION RESPONSES'!B:B,B218)
</f>
        <v>0</v>
      </c>
    </row>
    <row r="239" ht="22.5" customHeight="1">
      <c r="A239" s="4">
        <v>46031.61773809028</v>
      </c>
      <c r="B239" s="6" t="s">
        <v>662</v>
      </c>
      <c r="C239" s="6" t="s">
        <v>88</v>
      </c>
      <c r="E239" s="9" t="s">
        <v>663</v>
      </c>
      <c r="F239" s="6" t="s">
        <v>77</v>
      </c>
      <c r="G239" s="6" t="s">
        <v>88</v>
      </c>
      <c r="H239" s="6" t="s">
        <v>18</v>
      </c>
      <c r="I239" s="6" t="s">
        <v>19</v>
      </c>
      <c r="J239" s="6" t="s">
        <v>79</v>
      </c>
      <c r="K239" s="6" t="s">
        <v>40</v>
      </c>
      <c r="N239" s="6" t="s">
        <v>573</v>
      </c>
      <c r="Q239" s="22">
        <f>COUNTIF('LOCATION RESPONSES'!B:B,B212)
</f>
        <v>0</v>
      </c>
      <c r="R239" s="22">
        <f>COUNTIF('LOCATION RESPONSES'!B:B,B219)
</f>
        <v>0</v>
      </c>
    </row>
    <row r="240" ht="22.5" customHeight="1">
      <c r="A240" s="4">
        <v>46034.70203847223</v>
      </c>
      <c r="B240" s="6" t="s">
        <v>664</v>
      </c>
      <c r="C240" s="6" t="s">
        <v>665</v>
      </c>
      <c r="E240" s="9" t="s">
        <v>666</v>
      </c>
      <c r="F240" s="6" t="s">
        <v>77</v>
      </c>
      <c r="G240" s="6" t="s">
        <v>88</v>
      </c>
      <c r="H240" s="6" t="s">
        <v>18</v>
      </c>
      <c r="I240" s="6" t="s">
        <v>19</v>
      </c>
      <c r="J240" s="6" t="s">
        <v>79</v>
      </c>
      <c r="K240" s="6" t="s">
        <v>40</v>
      </c>
      <c r="L240" s="6" t="s">
        <v>85</v>
      </c>
      <c r="N240" s="6" t="s">
        <v>571</v>
      </c>
      <c r="Q240" s="22">
        <f>COUNTIF('LOCATION RESPONSES'!B:B,B213)
</f>
        <v>1</v>
      </c>
      <c r="R240" s="22">
        <f>COUNTIF('LOCATION RESPONSES'!B:B,B220)
</f>
        <v>1</v>
      </c>
    </row>
    <row r="241" ht="22.5" customHeight="1">
      <c r="A241" s="4">
        <v>46034.71286659723</v>
      </c>
      <c r="B241" s="6" t="s">
        <v>667</v>
      </c>
      <c r="C241" s="6">
        <v>7.578947523E9</v>
      </c>
      <c r="E241" s="9" t="s">
        <v>668</v>
      </c>
      <c r="F241" s="6" t="s">
        <v>22</v>
      </c>
      <c r="G241" s="6" t="s">
        <v>88</v>
      </c>
      <c r="H241" s="6" t="s">
        <v>18</v>
      </c>
      <c r="I241" s="6" t="s">
        <v>24</v>
      </c>
      <c r="J241" s="6" t="s">
        <v>79</v>
      </c>
      <c r="K241" s="6" t="s">
        <v>305</v>
      </c>
      <c r="L241" s="6" t="s">
        <v>85</v>
      </c>
      <c r="N241" s="6" t="s">
        <v>571</v>
      </c>
      <c r="Q241" s="22">
        <f>COUNTIF('LOCATION RESPONSES'!B:B,B214)
</f>
        <v>0</v>
      </c>
      <c r="R241" s="22">
        <f>COUNTIF('LOCATION RESPONSES'!B:B,B221)
</f>
        <v>1</v>
      </c>
    </row>
    <row r="242" ht="22.5" customHeight="1">
      <c r="A242" s="4">
        <v>46038.70673392361</v>
      </c>
      <c r="B242" s="6" t="s">
        <v>669</v>
      </c>
      <c r="C242" s="6">
        <v>7.085930297E9</v>
      </c>
      <c r="E242" s="9" t="s">
        <v>670</v>
      </c>
      <c r="F242" s="6" t="s">
        <v>77</v>
      </c>
      <c r="G242" s="6" t="s">
        <v>88</v>
      </c>
      <c r="H242" s="6" t="s">
        <v>18</v>
      </c>
      <c r="I242" s="6" t="s">
        <v>19</v>
      </c>
      <c r="J242" s="6" t="s">
        <v>79</v>
      </c>
      <c r="K242" s="6" t="s">
        <v>40</v>
      </c>
      <c r="L242" s="6" t="s">
        <v>85</v>
      </c>
      <c r="N242" s="6" t="s">
        <v>571</v>
      </c>
      <c r="Q242" s="22">
        <f>COUNTIF('LOCATION RESPONSES'!B:B,B215)
</f>
        <v>1</v>
      </c>
      <c r="R242" s="22">
        <f>COUNTIF('LOCATION RESPONSES'!B:B,B222)
</f>
        <v>1</v>
      </c>
    </row>
    <row r="243" ht="22.5" customHeight="1">
      <c r="A243" s="4">
        <v>46041.7570215625</v>
      </c>
      <c r="B243" s="6" t="s">
        <v>671</v>
      </c>
      <c r="C243" s="6">
        <v>9.365264013E9</v>
      </c>
      <c r="E243" s="9" t="s">
        <v>672</v>
      </c>
      <c r="F243" s="6" t="s">
        <v>22</v>
      </c>
      <c r="G243" s="6" t="s">
        <v>88</v>
      </c>
      <c r="H243" s="6" t="s">
        <v>18</v>
      </c>
      <c r="I243" s="6" t="s">
        <v>24</v>
      </c>
      <c r="J243" s="6" t="s">
        <v>79</v>
      </c>
      <c r="K243" s="6" t="s">
        <v>28</v>
      </c>
      <c r="L243" s="6" t="s">
        <v>85</v>
      </c>
      <c r="N243" s="6" t="s">
        <v>571</v>
      </c>
      <c r="Q243" s="22">
        <f>COUNTIF('LOCATION RESPONSES'!B:B,B216)
</f>
        <v>2</v>
      </c>
      <c r="R243" s="22">
        <f>COUNTIF('LOCATION RESPONSES'!B:B,B223)
</f>
        <v>2</v>
      </c>
    </row>
    <row r="244" ht="22.5" hidden="1" customHeight="1">
      <c r="A244" s="24"/>
      <c r="B244" s="25"/>
      <c r="C244" s="25"/>
      <c r="D244" s="26"/>
      <c r="E244" s="25"/>
      <c r="F244" s="25"/>
      <c r="G244" s="25"/>
      <c r="H244" s="25"/>
      <c r="I244" s="25"/>
      <c r="J244" s="8"/>
      <c r="K244" s="8"/>
      <c r="L244" s="8"/>
      <c r="M244" s="8"/>
      <c r="N244" s="8"/>
      <c r="O244" s="8"/>
      <c r="P244" s="8"/>
      <c r="Q244" s="8"/>
      <c r="R244" s="8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</row>
  </sheetData>
  <hyperlinks>
    <hyperlink r:id="rId1" ref="E3"/>
    <hyperlink r:id="rId2" ref="E4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E67"/>
    <hyperlink r:id="rId64" ref="E68"/>
    <hyperlink r:id="rId65" ref="E69"/>
    <hyperlink r:id="rId66" ref="E70"/>
    <hyperlink r:id="rId67" ref="E71"/>
    <hyperlink r:id="rId68" ref="E72"/>
    <hyperlink r:id="rId69" ref="E73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5"/>
    <hyperlink r:id="rId112" ref="E116"/>
    <hyperlink r:id="rId113" ref="E117"/>
    <hyperlink r:id="rId114" ref="E118"/>
    <hyperlink r:id="rId115" ref="E119"/>
    <hyperlink r:id="rId116" ref="E120"/>
    <hyperlink r:id="rId117" ref="E121"/>
    <hyperlink r:id="rId118" ref="E122"/>
    <hyperlink r:id="rId119" ref="E123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1"/>
    <hyperlink r:id="rId148" ref="E152"/>
    <hyperlink r:id="rId149" ref="E153"/>
    <hyperlink r:id="rId150" ref="E154"/>
    <hyperlink r:id="rId151" ref="E155"/>
    <hyperlink r:id="rId152" ref="E156"/>
    <hyperlink r:id="rId153" ref="E157"/>
    <hyperlink r:id="rId154" ref="E158"/>
    <hyperlink r:id="rId155" ref="E159"/>
    <hyperlink r:id="rId156" ref="E160"/>
    <hyperlink r:id="rId157" ref="E161"/>
    <hyperlink r:id="rId158" ref="E162"/>
    <hyperlink r:id="rId159" ref="E163"/>
    <hyperlink r:id="rId160" ref="E164"/>
    <hyperlink r:id="rId161" ref="E165"/>
    <hyperlink r:id="rId162" ref="E166"/>
    <hyperlink r:id="rId163" ref="E167"/>
    <hyperlink r:id="rId164" ref="E168"/>
    <hyperlink r:id="rId165" ref="E169"/>
    <hyperlink r:id="rId166" ref="E170"/>
    <hyperlink r:id="rId167" ref="E171"/>
    <hyperlink r:id="rId168" ref="E172"/>
    <hyperlink r:id="rId169" ref="E173"/>
    <hyperlink r:id="rId170" ref="E174"/>
    <hyperlink r:id="rId171" ref="E175"/>
    <hyperlink r:id="rId172" ref="E176"/>
    <hyperlink r:id="rId173" ref="E177"/>
    <hyperlink r:id="rId174" ref="E178"/>
    <hyperlink r:id="rId175" ref="E179"/>
    <hyperlink r:id="rId176" ref="E180"/>
    <hyperlink r:id="rId177" ref="E181"/>
    <hyperlink r:id="rId178" ref="E182"/>
    <hyperlink r:id="rId179" ref="E183"/>
    <hyperlink r:id="rId180" ref="E184"/>
    <hyperlink r:id="rId181" ref="E185"/>
    <hyperlink r:id="rId182" ref="E186"/>
    <hyperlink r:id="rId183" ref="E187"/>
    <hyperlink r:id="rId184" ref="E188"/>
    <hyperlink r:id="rId185" ref="E189"/>
    <hyperlink r:id="rId186" ref="E190"/>
    <hyperlink r:id="rId187" ref="E191"/>
    <hyperlink r:id="rId188" ref="E192"/>
    <hyperlink r:id="rId189" ref="E193"/>
    <hyperlink r:id="rId190" ref="E194"/>
    <hyperlink r:id="rId191" ref="E195"/>
    <hyperlink r:id="rId192" ref="E196"/>
    <hyperlink r:id="rId193" ref="E197"/>
    <hyperlink r:id="rId194" ref="E198"/>
    <hyperlink r:id="rId195" ref="E199"/>
    <hyperlink r:id="rId196" ref="E200"/>
    <hyperlink r:id="rId197" ref="E201"/>
    <hyperlink r:id="rId198" ref="E202"/>
    <hyperlink r:id="rId199" ref="E203"/>
    <hyperlink r:id="rId200" ref="E204"/>
    <hyperlink r:id="rId201" ref="E205"/>
    <hyperlink r:id="rId202" ref="E206"/>
    <hyperlink r:id="rId203" ref="E207"/>
    <hyperlink r:id="rId204" ref="E208"/>
    <hyperlink r:id="rId205" ref="E209"/>
    <hyperlink r:id="rId206" ref="E210"/>
    <hyperlink r:id="rId207" ref="E211"/>
    <hyperlink r:id="rId208" ref="E212"/>
    <hyperlink r:id="rId209" ref="E213"/>
    <hyperlink r:id="rId210" ref="E214"/>
    <hyperlink r:id="rId211" ref="E215"/>
    <hyperlink r:id="rId212" ref="E216"/>
    <hyperlink r:id="rId213" ref="E217"/>
    <hyperlink r:id="rId214" ref="E218"/>
    <hyperlink r:id="rId215" ref="E219"/>
    <hyperlink r:id="rId216" ref="E220"/>
    <hyperlink r:id="rId217" ref="E221"/>
    <hyperlink r:id="rId218" ref="E222"/>
    <hyperlink r:id="rId219" ref="E223"/>
    <hyperlink r:id="rId220" ref="E224"/>
    <hyperlink r:id="rId221" ref="E225"/>
    <hyperlink r:id="rId222" ref="E226"/>
    <hyperlink r:id="rId223" ref="E227"/>
    <hyperlink r:id="rId224" ref="E228"/>
    <hyperlink r:id="rId225" ref="E229"/>
    <hyperlink r:id="rId226" ref="E230"/>
    <hyperlink r:id="rId227" ref="E231"/>
    <hyperlink r:id="rId228" ref="E232"/>
    <hyperlink r:id="rId229" ref="E233"/>
    <hyperlink r:id="rId230" ref="E234"/>
    <hyperlink r:id="rId231" ref="E235"/>
    <hyperlink r:id="rId232" ref="E236"/>
    <hyperlink r:id="rId233" ref="E237"/>
    <hyperlink r:id="rId234" ref="E238"/>
    <hyperlink r:id="rId235" ref="E239"/>
    <hyperlink r:id="rId236" ref="E240"/>
    <hyperlink r:id="rId237" ref="E241"/>
    <hyperlink r:id="rId238" ref="E242"/>
    <hyperlink r:id="rId239" ref="E24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0"/>
  <tableParts count="1">
    <tablePart r:id="rId2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9.25"/>
    <col customWidth="1" min="3" max="3" width="24.13"/>
    <col customWidth="1" min="4" max="4" width="23.13"/>
    <col customWidth="1" min="5" max="5" width="97.0"/>
    <col customWidth="1" min="6" max="6" width="32.38"/>
  </cols>
  <sheetData>
    <row r="1">
      <c r="A1" s="28" t="s">
        <v>0</v>
      </c>
      <c r="B1" s="28" t="s">
        <v>673</v>
      </c>
      <c r="C1" s="28" t="s">
        <v>674</v>
      </c>
      <c r="D1" s="28" t="s">
        <v>675</v>
      </c>
      <c r="E1" s="28" t="s">
        <v>676</v>
      </c>
      <c r="F1" s="29" t="s">
        <v>16</v>
      </c>
      <c r="G1" s="29" t="s">
        <v>17</v>
      </c>
    </row>
    <row r="2">
      <c r="A2" s="30">
        <v>46002.61007340278</v>
      </c>
      <c r="B2" s="29" t="s">
        <v>677</v>
      </c>
      <c r="C2" s="31" t="s">
        <v>678</v>
      </c>
      <c r="D2" s="32">
        <v>22.584999084472656</v>
      </c>
      <c r="E2" s="29" t="s">
        <v>679</v>
      </c>
      <c r="F2" s="33">
        <f t="shared" ref="F2:F150" si="1">VALUE(LEFT(MID(C2,FIND("query=",C2)+6,50),FIND("%2C",MID(C2,FIND("query=",C2)+6,50))-1))
</f>
        <v>26.143083</v>
      </c>
      <c r="G2" s="33">
        <f t="shared" ref="G2:G150" si="2">VALUE(MID(MID(C2,FIND("query=",C2)+6,50),FIND("%2C",MID(C2,FIND("query=",C2)+6,50))+3,50))
</f>
        <v>91.8122021</v>
      </c>
    </row>
    <row r="3">
      <c r="A3" s="30">
        <v>46002.625264421295</v>
      </c>
      <c r="B3" s="29" t="s">
        <v>680</v>
      </c>
      <c r="C3" s="31" t="s">
        <v>681</v>
      </c>
      <c r="D3" s="32">
        <v>13.623000144958496</v>
      </c>
      <c r="E3" s="29" t="s">
        <v>679</v>
      </c>
      <c r="F3" s="33">
        <f t="shared" si="1"/>
        <v>26.133466</v>
      </c>
      <c r="G3" s="33">
        <f t="shared" si="2"/>
        <v>91.8317512</v>
      </c>
    </row>
    <row r="4">
      <c r="A4" s="30">
        <v>46002.629513912034</v>
      </c>
      <c r="B4" s="29" t="s">
        <v>682</v>
      </c>
      <c r="C4" s="31" t="s">
        <v>683</v>
      </c>
      <c r="D4" s="32">
        <v>19.7189998626709</v>
      </c>
      <c r="E4" s="29" t="s">
        <v>684</v>
      </c>
      <c r="F4" s="33">
        <f t="shared" si="1"/>
        <v>26.156065</v>
      </c>
      <c r="G4" s="33">
        <f t="shared" si="2"/>
        <v>91.78065</v>
      </c>
    </row>
    <row r="5">
      <c r="A5" s="30">
        <v>46002.63685793981</v>
      </c>
      <c r="B5" s="29" t="s">
        <v>35</v>
      </c>
      <c r="C5" s="31" t="s">
        <v>685</v>
      </c>
      <c r="D5" s="32">
        <v>12.628000259399414</v>
      </c>
      <c r="E5" s="29" t="s">
        <v>684</v>
      </c>
      <c r="F5" s="33">
        <f t="shared" si="1"/>
        <v>26.1508814</v>
      </c>
      <c r="G5" s="33">
        <f t="shared" si="2"/>
        <v>91.7834907</v>
      </c>
    </row>
    <row r="6">
      <c r="A6" s="30">
        <v>46002.63774711806</v>
      </c>
      <c r="B6" s="29" t="s">
        <v>686</v>
      </c>
      <c r="C6" s="31" t="s">
        <v>687</v>
      </c>
      <c r="D6" s="32">
        <v>11.515999794006348</v>
      </c>
      <c r="E6" s="29" t="s">
        <v>679</v>
      </c>
      <c r="F6" s="33">
        <f t="shared" si="1"/>
        <v>26.13301</v>
      </c>
      <c r="G6" s="33">
        <f t="shared" si="2"/>
        <v>91.8298416</v>
      </c>
    </row>
    <row r="7">
      <c r="A7" s="30">
        <v>46002.64388664352</v>
      </c>
      <c r="B7" s="29" t="s">
        <v>688</v>
      </c>
      <c r="C7" s="31" t="s">
        <v>689</v>
      </c>
      <c r="D7" s="32">
        <v>12.986000061035156</v>
      </c>
      <c r="E7" s="29" t="s">
        <v>679</v>
      </c>
      <c r="F7" s="33">
        <f t="shared" si="1"/>
        <v>26.1327564</v>
      </c>
      <c r="G7" s="33">
        <f t="shared" si="2"/>
        <v>91.8166271</v>
      </c>
    </row>
    <row r="8">
      <c r="A8" s="30">
        <v>46002.647068923616</v>
      </c>
      <c r="B8" s="29" t="s">
        <v>690</v>
      </c>
      <c r="C8" s="31" t="s">
        <v>691</v>
      </c>
      <c r="D8" s="32">
        <v>20.0</v>
      </c>
      <c r="E8" s="29" t="s">
        <v>684</v>
      </c>
      <c r="F8" s="33">
        <f t="shared" si="1"/>
        <v>26.1523644</v>
      </c>
      <c r="G8" s="33">
        <f t="shared" si="2"/>
        <v>91.7811835</v>
      </c>
    </row>
    <row r="9">
      <c r="A9" s="30">
        <v>46002.66086131944</v>
      </c>
      <c r="B9" s="29" t="s">
        <v>692</v>
      </c>
      <c r="C9" s="31" t="s">
        <v>693</v>
      </c>
      <c r="D9" s="32">
        <v>56.099998474121094</v>
      </c>
      <c r="E9" s="29" t="s">
        <v>679</v>
      </c>
      <c r="F9" s="33">
        <f t="shared" si="1"/>
        <v>26.1056177</v>
      </c>
      <c r="G9" s="33">
        <f t="shared" si="2"/>
        <v>91.8545398</v>
      </c>
    </row>
    <row r="10">
      <c r="A10" s="30">
        <v>46002.67066440972</v>
      </c>
      <c r="B10" s="29" t="s">
        <v>694</v>
      </c>
      <c r="C10" s="31" t="s">
        <v>695</v>
      </c>
      <c r="D10" s="32">
        <v>11.463000297546387</v>
      </c>
      <c r="E10" s="29" t="s">
        <v>684</v>
      </c>
      <c r="F10" s="33">
        <f t="shared" si="1"/>
        <v>26.1535208</v>
      </c>
      <c r="G10" s="33">
        <f t="shared" si="2"/>
        <v>91.7803735</v>
      </c>
    </row>
    <row r="11">
      <c r="A11" s="30">
        <v>46002.683371736115</v>
      </c>
      <c r="B11" s="29" t="s">
        <v>696</v>
      </c>
      <c r="C11" s="31" t="s">
        <v>697</v>
      </c>
      <c r="D11" s="32">
        <v>23.886999130249023</v>
      </c>
      <c r="E11" s="29" t="s">
        <v>684</v>
      </c>
      <c r="F11" s="33">
        <f t="shared" si="1"/>
        <v>26.1544501</v>
      </c>
      <c r="G11" s="33">
        <f t="shared" si="2"/>
        <v>91.7792302</v>
      </c>
    </row>
    <row r="12">
      <c r="A12" s="30">
        <v>46002.70025767361</v>
      </c>
      <c r="B12" s="29" t="s">
        <v>698</v>
      </c>
      <c r="C12" s="31" t="s">
        <v>699</v>
      </c>
      <c r="D12" s="32">
        <v>30.915000915527344</v>
      </c>
      <c r="E12" s="29" t="s">
        <v>684</v>
      </c>
      <c r="F12" s="33">
        <f t="shared" si="1"/>
        <v>26.1549427</v>
      </c>
      <c r="G12" s="33">
        <f t="shared" si="2"/>
        <v>91.7794864</v>
      </c>
    </row>
    <row r="13">
      <c r="A13" s="30">
        <v>46002.70292827547</v>
      </c>
      <c r="B13" s="29" t="s">
        <v>700</v>
      </c>
      <c r="C13" s="31" t="s">
        <v>701</v>
      </c>
      <c r="D13" s="32">
        <v>22.527000427246094</v>
      </c>
      <c r="E13" s="29" t="s">
        <v>679</v>
      </c>
      <c r="F13" s="33">
        <f t="shared" si="1"/>
        <v>26.1261353</v>
      </c>
      <c r="G13" s="33">
        <f t="shared" si="2"/>
        <v>91.7974032</v>
      </c>
    </row>
    <row r="14">
      <c r="A14" s="30">
        <v>46002.70378326389</v>
      </c>
      <c r="B14" s="29" t="s">
        <v>702</v>
      </c>
      <c r="C14" s="31" t="s">
        <v>703</v>
      </c>
      <c r="D14" s="32">
        <v>20.0</v>
      </c>
      <c r="E14" s="29" t="s">
        <v>684</v>
      </c>
      <c r="F14" s="33">
        <f t="shared" si="1"/>
        <v>26.1551088</v>
      </c>
      <c r="G14" s="33">
        <f t="shared" si="2"/>
        <v>91.7791511</v>
      </c>
    </row>
    <row r="15">
      <c r="A15" s="30">
        <v>46002.71128511574</v>
      </c>
      <c r="B15" s="29" t="s">
        <v>704</v>
      </c>
      <c r="C15" s="31" t="s">
        <v>705</v>
      </c>
      <c r="D15" s="32">
        <v>11.690999984741211</v>
      </c>
      <c r="E15" s="29" t="s">
        <v>679</v>
      </c>
      <c r="F15" s="33">
        <f t="shared" si="1"/>
        <v>26.1319667</v>
      </c>
      <c r="G15" s="33">
        <f t="shared" si="2"/>
        <v>91.7938924</v>
      </c>
    </row>
    <row r="16">
      <c r="A16" s="30">
        <v>46002.761287800924</v>
      </c>
      <c r="B16" s="29" t="s">
        <v>706</v>
      </c>
      <c r="C16" s="31" t="s">
        <v>707</v>
      </c>
      <c r="D16" s="32">
        <v>28.722000122070312</v>
      </c>
      <c r="E16" s="29" t="s">
        <v>684</v>
      </c>
      <c r="F16" s="33">
        <f t="shared" si="1"/>
        <v>26.1569721</v>
      </c>
      <c r="G16" s="33">
        <f t="shared" si="2"/>
        <v>91.7770388</v>
      </c>
    </row>
    <row r="17">
      <c r="A17" s="30">
        <v>46002.7681193287</v>
      </c>
      <c r="B17" s="29" t="s">
        <v>69</v>
      </c>
      <c r="C17" s="31" t="s">
        <v>708</v>
      </c>
      <c r="D17" s="32">
        <v>18.60099983215332</v>
      </c>
      <c r="E17" s="29" t="s">
        <v>684</v>
      </c>
      <c r="F17" s="33">
        <f t="shared" si="1"/>
        <v>26.1584035</v>
      </c>
      <c r="G17" s="33">
        <f t="shared" si="2"/>
        <v>91.7752677</v>
      </c>
    </row>
    <row r="18">
      <c r="A18" s="30">
        <v>46002.78210822916</v>
      </c>
      <c r="B18" s="29" t="s">
        <v>709</v>
      </c>
      <c r="C18" s="31" t="s">
        <v>710</v>
      </c>
      <c r="D18" s="32">
        <v>30.569000244140625</v>
      </c>
      <c r="E18" s="29" t="s">
        <v>684</v>
      </c>
      <c r="F18" s="33">
        <f t="shared" si="1"/>
        <v>26.1594282</v>
      </c>
      <c r="G18" s="33">
        <f t="shared" si="2"/>
        <v>91.7742165</v>
      </c>
    </row>
    <row r="19">
      <c r="A19" s="30">
        <v>46003.57376222222</v>
      </c>
      <c r="B19" s="29" t="s">
        <v>711</v>
      </c>
      <c r="C19" s="31" t="s">
        <v>712</v>
      </c>
      <c r="D19" s="32">
        <v>18.263999938964844</v>
      </c>
      <c r="E19" s="29" t="s">
        <v>679</v>
      </c>
      <c r="F19" s="33">
        <f t="shared" si="1"/>
        <v>26.1734722</v>
      </c>
      <c r="G19" s="33">
        <f t="shared" si="2"/>
        <v>91.7315021</v>
      </c>
    </row>
    <row r="20">
      <c r="A20" s="30">
        <v>46003.596947743055</v>
      </c>
      <c r="B20" s="29" t="s">
        <v>713</v>
      </c>
      <c r="C20" s="31" t="s">
        <v>714</v>
      </c>
      <c r="D20" s="32">
        <v>64.0999984741211</v>
      </c>
      <c r="E20" s="29" t="s">
        <v>679</v>
      </c>
      <c r="F20" s="33">
        <f t="shared" si="1"/>
        <v>26.1590165</v>
      </c>
      <c r="G20" s="33">
        <f t="shared" si="2"/>
        <v>91.6941079</v>
      </c>
    </row>
    <row r="21">
      <c r="A21" s="30">
        <v>46003.606300266205</v>
      </c>
      <c r="B21" s="29" t="s">
        <v>715</v>
      </c>
      <c r="C21" s="31" t="s">
        <v>716</v>
      </c>
      <c r="D21" s="32">
        <v>28.142000198364258</v>
      </c>
      <c r="E21" s="29" t="s">
        <v>679</v>
      </c>
      <c r="F21" s="33">
        <f t="shared" si="1"/>
        <v>26.1584949</v>
      </c>
      <c r="G21" s="33">
        <f t="shared" si="2"/>
        <v>91.6858021</v>
      </c>
    </row>
    <row r="22">
      <c r="A22" s="30">
        <v>46003.616403935186</v>
      </c>
      <c r="B22" s="29" t="s">
        <v>717</v>
      </c>
      <c r="C22" s="31" t="s">
        <v>718</v>
      </c>
      <c r="D22" s="32">
        <v>13.526000022888184</v>
      </c>
      <c r="E22" s="29" t="s">
        <v>679</v>
      </c>
      <c r="F22" s="33">
        <f t="shared" si="1"/>
        <v>26.1552462</v>
      </c>
      <c r="G22" s="33">
        <f t="shared" si="2"/>
        <v>91.6764789</v>
      </c>
    </row>
    <row r="23">
      <c r="A23" s="34">
        <v>46003.643576331015</v>
      </c>
      <c r="B23" s="35" t="s">
        <v>719</v>
      </c>
      <c r="C23" s="36" t="s">
        <v>720</v>
      </c>
      <c r="D23" s="37">
        <v>16.81100082397461</v>
      </c>
      <c r="E23" s="35" t="s">
        <v>679</v>
      </c>
      <c r="F23" s="33">
        <f t="shared" si="1"/>
        <v>26.1416286</v>
      </c>
      <c r="G23" s="33">
        <f t="shared" si="2"/>
        <v>91.6417724</v>
      </c>
    </row>
    <row r="24">
      <c r="A24" s="34">
        <v>46003.64589474537</v>
      </c>
      <c r="B24" s="35" t="s">
        <v>719</v>
      </c>
      <c r="C24" s="36" t="s">
        <v>721</v>
      </c>
      <c r="D24" s="37">
        <v>11.619999885559082</v>
      </c>
      <c r="E24" s="35" t="s">
        <v>679</v>
      </c>
      <c r="F24" s="33">
        <f t="shared" si="1"/>
        <v>26.1415927</v>
      </c>
      <c r="G24" s="33">
        <f t="shared" si="2"/>
        <v>91.6417741</v>
      </c>
    </row>
    <row r="25">
      <c r="A25" s="34">
        <v>46003.64600197917</v>
      </c>
      <c r="B25" s="35" t="s">
        <v>719</v>
      </c>
      <c r="C25" s="36" t="s">
        <v>722</v>
      </c>
      <c r="D25" s="37">
        <v>21.301000595092773</v>
      </c>
      <c r="E25" s="35" t="s">
        <v>679</v>
      </c>
      <c r="F25" s="33">
        <f t="shared" si="1"/>
        <v>26.1415592</v>
      </c>
      <c r="G25" s="33">
        <f t="shared" si="2"/>
        <v>91.6417357</v>
      </c>
    </row>
    <row r="26">
      <c r="A26" s="34">
        <v>46003.66693104166</v>
      </c>
      <c r="B26" s="35" t="s">
        <v>723</v>
      </c>
      <c r="C26" s="36" t="s">
        <v>724</v>
      </c>
      <c r="D26" s="37">
        <v>12.375</v>
      </c>
      <c r="E26" s="35" t="s">
        <v>679</v>
      </c>
      <c r="F26" s="33">
        <f t="shared" si="1"/>
        <v>26.1376343</v>
      </c>
      <c r="G26" s="33">
        <f t="shared" si="2"/>
        <v>91.6285173</v>
      </c>
    </row>
    <row r="27">
      <c r="A27" s="30">
        <v>46003.68157559028</v>
      </c>
      <c r="B27" s="29" t="s">
        <v>725</v>
      </c>
      <c r="C27" s="31" t="s">
        <v>726</v>
      </c>
      <c r="D27" s="32">
        <v>98.4000015258789</v>
      </c>
      <c r="E27" s="29" t="s">
        <v>679</v>
      </c>
      <c r="F27" s="33">
        <f t="shared" si="1"/>
        <v>26.1368983</v>
      </c>
      <c r="G27" s="33">
        <f t="shared" si="2"/>
        <v>91.6290964</v>
      </c>
    </row>
    <row r="28">
      <c r="A28" s="30">
        <v>46003.68804982639</v>
      </c>
      <c r="B28" s="29" t="s">
        <v>727</v>
      </c>
      <c r="C28" s="31" t="s">
        <v>728</v>
      </c>
      <c r="D28" s="32">
        <v>22.893999099731445</v>
      </c>
      <c r="E28" s="29" t="s">
        <v>679</v>
      </c>
      <c r="F28" s="33">
        <f t="shared" si="1"/>
        <v>26.1454617</v>
      </c>
      <c r="G28" s="33">
        <f t="shared" si="2"/>
        <v>91.6449292</v>
      </c>
    </row>
    <row r="29">
      <c r="A29" s="30">
        <v>46003.70295490741</v>
      </c>
      <c r="B29" s="29" t="s">
        <v>729</v>
      </c>
      <c r="C29" s="31" t="s">
        <v>730</v>
      </c>
      <c r="D29" s="32">
        <v>15.402999877929688</v>
      </c>
      <c r="E29" s="29" t="s">
        <v>679</v>
      </c>
      <c r="F29" s="33">
        <f t="shared" si="1"/>
        <v>26.147229</v>
      </c>
      <c r="G29" s="33">
        <f t="shared" si="2"/>
        <v>91.6464309</v>
      </c>
    </row>
    <row r="30">
      <c r="A30" s="30">
        <v>46003.71424380787</v>
      </c>
      <c r="B30" s="29" t="s">
        <v>731</v>
      </c>
      <c r="C30" s="31" t="s">
        <v>732</v>
      </c>
      <c r="D30" s="32">
        <v>16.50200080871582</v>
      </c>
      <c r="E30" s="29" t="s">
        <v>679</v>
      </c>
      <c r="F30" s="33">
        <f t="shared" si="1"/>
        <v>26.1603976</v>
      </c>
      <c r="G30" s="33">
        <f t="shared" si="2"/>
        <v>91.666315</v>
      </c>
    </row>
    <row r="31">
      <c r="A31" s="30">
        <v>46004.53919174768</v>
      </c>
      <c r="B31" s="29" t="s">
        <v>733</v>
      </c>
      <c r="C31" s="31" t="s">
        <v>734</v>
      </c>
      <c r="D31" s="32">
        <v>16.9950008392334</v>
      </c>
      <c r="E31" s="29" t="s">
        <v>679</v>
      </c>
      <c r="F31" s="33">
        <f t="shared" si="1"/>
        <v>26.1326018</v>
      </c>
      <c r="G31" s="33">
        <f t="shared" si="2"/>
        <v>91.8070048</v>
      </c>
    </row>
    <row r="32">
      <c r="A32" s="30">
        <v>46004.54566854167</v>
      </c>
      <c r="B32" s="29" t="s">
        <v>735</v>
      </c>
      <c r="C32" s="31" t="s">
        <v>736</v>
      </c>
      <c r="D32" s="32">
        <v>12.913000106811523</v>
      </c>
      <c r="E32" s="29" t="s">
        <v>679</v>
      </c>
      <c r="F32" s="33">
        <f t="shared" si="1"/>
        <v>26.1318581</v>
      </c>
      <c r="G32" s="33">
        <f t="shared" si="2"/>
        <v>91.807913</v>
      </c>
    </row>
    <row r="33">
      <c r="A33" s="30">
        <v>46004.556399560184</v>
      </c>
      <c r="B33" s="29" t="s">
        <v>737</v>
      </c>
      <c r="C33" s="31" t="s">
        <v>738</v>
      </c>
      <c r="D33" s="32">
        <v>19.95199966430664</v>
      </c>
      <c r="E33" s="29" t="s">
        <v>679</v>
      </c>
      <c r="F33" s="33">
        <f t="shared" si="1"/>
        <v>26.140405</v>
      </c>
      <c r="G33" s="33">
        <f t="shared" si="2"/>
        <v>91.8152669</v>
      </c>
    </row>
    <row r="34">
      <c r="A34" s="30">
        <v>46004.56158168981</v>
      </c>
      <c r="B34" s="29" t="s">
        <v>739</v>
      </c>
      <c r="C34" s="31" t="s">
        <v>740</v>
      </c>
      <c r="D34" s="32">
        <v>37.86000061035156</v>
      </c>
      <c r="E34" s="29" t="s">
        <v>679</v>
      </c>
      <c r="F34" s="33">
        <f t="shared" si="1"/>
        <v>26.1373685</v>
      </c>
      <c r="G34" s="33">
        <f t="shared" si="2"/>
        <v>91.8153914</v>
      </c>
    </row>
    <row r="35">
      <c r="A35" s="30">
        <v>46004.57155565972</v>
      </c>
      <c r="B35" s="29" t="s">
        <v>741</v>
      </c>
      <c r="C35" s="31" t="s">
        <v>742</v>
      </c>
      <c r="D35" s="32">
        <v>40.3129997253418</v>
      </c>
      <c r="E35" s="29" t="s">
        <v>679</v>
      </c>
      <c r="F35" s="33">
        <f t="shared" si="1"/>
        <v>26.137204</v>
      </c>
      <c r="G35" s="33">
        <f t="shared" si="2"/>
        <v>91.8151736</v>
      </c>
    </row>
    <row r="36">
      <c r="A36" s="30">
        <v>46004.58149465278</v>
      </c>
      <c r="B36" s="29" t="s">
        <v>553</v>
      </c>
      <c r="C36" s="31" t="s">
        <v>743</v>
      </c>
      <c r="D36" s="32">
        <v>23.8799991607666</v>
      </c>
      <c r="E36" s="29" t="s">
        <v>679</v>
      </c>
      <c r="F36" s="33">
        <f t="shared" si="1"/>
        <v>26.1247206</v>
      </c>
      <c r="G36" s="33">
        <f t="shared" si="2"/>
        <v>91.805823</v>
      </c>
    </row>
    <row r="37">
      <c r="A37" s="30">
        <v>46004.593332916666</v>
      </c>
      <c r="B37" s="29" t="s">
        <v>744</v>
      </c>
      <c r="C37" s="31" t="s">
        <v>745</v>
      </c>
      <c r="D37" s="32">
        <v>13.63599967956543</v>
      </c>
      <c r="E37" s="29" t="s">
        <v>679</v>
      </c>
      <c r="F37" s="33">
        <f t="shared" si="1"/>
        <v>26.121604</v>
      </c>
      <c r="G37" s="33">
        <f t="shared" si="2"/>
        <v>91.8058267</v>
      </c>
    </row>
    <row r="38">
      <c r="A38" s="30">
        <v>46004.596585266205</v>
      </c>
      <c r="B38" s="29" t="s">
        <v>746</v>
      </c>
      <c r="C38" s="31" t="s">
        <v>747</v>
      </c>
      <c r="D38" s="32">
        <v>19.474000930786133</v>
      </c>
      <c r="E38" s="29" t="s">
        <v>679</v>
      </c>
      <c r="F38" s="33">
        <f t="shared" si="1"/>
        <v>26.1194968</v>
      </c>
      <c r="G38" s="33">
        <f t="shared" si="2"/>
        <v>91.8062219</v>
      </c>
    </row>
    <row r="39">
      <c r="A39" s="30">
        <v>46004.63358434028</v>
      </c>
      <c r="B39" s="29" t="s">
        <v>748</v>
      </c>
      <c r="C39" s="31" t="s">
        <v>749</v>
      </c>
      <c r="D39" s="32">
        <v>11.482000350952148</v>
      </c>
      <c r="E39" s="29" t="s">
        <v>679</v>
      </c>
      <c r="F39" s="33">
        <f t="shared" si="1"/>
        <v>26.1102946</v>
      </c>
      <c r="G39" s="33">
        <f t="shared" si="2"/>
        <v>91.7502589</v>
      </c>
    </row>
    <row r="40">
      <c r="A40" s="30">
        <v>46004.65530832176</v>
      </c>
      <c r="B40" s="29" t="s">
        <v>750</v>
      </c>
      <c r="C40" s="31" t="s">
        <v>751</v>
      </c>
      <c r="D40" s="32">
        <v>13.364999771118164</v>
      </c>
      <c r="E40" s="29" t="s">
        <v>679</v>
      </c>
      <c r="F40" s="33">
        <f t="shared" si="1"/>
        <v>26.1042569</v>
      </c>
      <c r="G40" s="33">
        <f t="shared" si="2"/>
        <v>91.7074944</v>
      </c>
    </row>
    <row r="41">
      <c r="A41" s="30">
        <v>46004.66861966436</v>
      </c>
      <c r="B41" s="29" t="s">
        <v>752</v>
      </c>
      <c r="C41" s="31" t="s">
        <v>753</v>
      </c>
      <c r="D41" s="32">
        <v>58.87900161743164</v>
      </c>
      <c r="E41" s="29" t="s">
        <v>679</v>
      </c>
      <c r="F41" s="33">
        <f t="shared" si="1"/>
        <v>26.114321</v>
      </c>
      <c r="G41" s="33">
        <f t="shared" si="2"/>
        <v>91.7086986</v>
      </c>
    </row>
    <row r="42">
      <c r="A42" s="30">
        <v>46004.672909479166</v>
      </c>
      <c r="B42" s="29" t="s">
        <v>754</v>
      </c>
      <c r="C42" s="31" t="s">
        <v>755</v>
      </c>
      <c r="D42" s="32">
        <v>14.336999893188477</v>
      </c>
      <c r="E42" s="29" t="s">
        <v>679</v>
      </c>
      <c r="F42" s="33">
        <f t="shared" si="1"/>
        <v>26.1147258</v>
      </c>
      <c r="G42" s="33">
        <f t="shared" si="2"/>
        <v>91.7087387</v>
      </c>
    </row>
    <row r="43">
      <c r="A43" s="30">
        <v>46004.68128746528</v>
      </c>
      <c r="B43" s="29" t="s">
        <v>756</v>
      </c>
      <c r="C43" s="31" t="s">
        <v>757</v>
      </c>
      <c r="D43" s="32">
        <v>21.933000564575195</v>
      </c>
      <c r="E43" s="29" t="s">
        <v>679</v>
      </c>
      <c r="F43" s="33">
        <f t="shared" si="1"/>
        <v>26.1230924</v>
      </c>
      <c r="G43" s="33">
        <f t="shared" si="2"/>
        <v>91.6855165</v>
      </c>
    </row>
    <row r="44">
      <c r="A44" s="30">
        <v>46004.68880319444</v>
      </c>
      <c r="B44" s="29" t="s">
        <v>758</v>
      </c>
      <c r="C44" s="31" t="s">
        <v>759</v>
      </c>
      <c r="D44" s="32">
        <v>19.16699981689453</v>
      </c>
      <c r="E44" s="29" t="s">
        <v>679</v>
      </c>
      <c r="F44" s="33">
        <f t="shared" si="1"/>
        <v>26.1233486</v>
      </c>
      <c r="G44" s="33">
        <f t="shared" si="2"/>
        <v>91.6858506</v>
      </c>
    </row>
    <row r="45">
      <c r="A45" s="30">
        <v>46004.6938231713</v>
      </c>
      <c r="B45" s="29" t="s">
        <v>760</v>
      </c>
      <c r="C45" s="31" t="s">
        <v>761</v>
      </c>
      <c r="D45" s="32">
        <v>26.5049991607666</v>
      </c>
      <c r="E45" s="29" t="s">
        <v>679</v>
      </c>
      <c r="F45" s="33">
        <f t="shared" si="1"/>
        <v>26.1231499</v>
      </c>
      <c r="G45" s="33">
        <f t="shared" si="2"/>
        <v>91.6856619</v>
      </c>
    </row>
    <row r="46">
      <c r="A46" s="30">
        <v>46004.70537576389</v>
      </c>
      <c r="B46" s="29" t="s">
        <v>762</v>
      </c>
      <c r="C46" s="31" t="s">
        <v>763</v>
      </c>
      <c r="D46" s="32">
        <v>17.479999542236328</v>
      </c>
      <c r="E46" s="29" t="s">
        <v>679</v>
      </c>
      <c r="F46" s="33">
        <f t="shared" si="1"/>
        <v>26.1168925</v>
      </c>
      <c r="G46" s="33">
        <f t="shared" si="2"/>
        <v>91.7187974</v>
      </c>
    </row>
    <row r="47">
      <c r="A47" s="30">
        <v>46006.60223128472</v>
      </c>
      <c r="B47" s="29" t="s">
        <v>764</v>
      </c>
      <c r="C47" s="31" t="s">
        <v>765</v>
      </c>
      <c r="D47" s="32">
        <v>15.746000289916992</v>
      </c>
      <c r="E47" s="29" t="s">
        <v>679</v>
      </c>
      <c r="F47" s="33">
        <f t="shared" si="1"/>
        <v>26.1374475</v>
      </c>
      <c r="G47" s="33">
        <f t="shared" si="2"/>
        <v>91.6326292</v>
      </c>
    </row>
    <row r="48">
      <c r="A48" s="30">
        <v>46006.62939103009</v>
      </c>
      <c r="B48" s="29" t="s">
        <v>766</v>
      </c>
      <c r="C48" s="31" t="s">
        <v>767</v>
      </c>
      <c r="D48" s="32">
        <v>20.73200035095215</v>
      </c>
      <c r="E48" s="29" t="s">
        <v>679</v>
      </c>
      <c r="F48" s="33">
        <f t="shared" si="1"/>
        <v>26.1419737</v>
      </c>
      <c r="G48" s="33">
        <f t="shared" si="2"/>
        <v>91.6587198</v>
      </c>
    </row>
    <row r="49">
      <c r="A49" s="30">
        <v>46006.67462684028</v>
      </c>
      <c r="B49" s="29" t="s">
        <v>768</v>
      </c>
      <c r="C49" s="31" t="s">
        <v>769</v>
      </c>
      <c r="D49" s="32">
        <v>9.9350004196167</v>
      </c>
      <c r="E49" s="29" t="s">
        <v>679</v>
      </c>
      <c r="F49" s="33">
        <f t="shared" si="1"/>
        <v>26.1223225</v>
      </c>
      <c r="G49" s="33">
        <f t="shared" si="2"/>
        <v>91.8087446</v>
      </c>
    </row>
    <row r="50">
      <c r="A50" s="30">
        <v>46006.6839902662</v>
      </c>
      <c r="B50" s="29" t="s">
        <v>770</v>
      </c>
      <c r="C50" s="31" t="s">
        <v>771</v>
      </c>
      <c r="D50" s="32">
        <v>25.982999801635742</v>
      </c>
      <c r="E50" s="29" t="s">
        <v>679</v>
      </c>
      <c r="F50" s="33">
        <f t="shared" si="1"/>
        <v>26.1271719</v>
      </c>
      <c r="G50" s="33">
        <f t="shared" si="2"/>
        <v>91.813211</v>
      </c>
    </row>
    <row r="51">
      <c r="A51" s="30">
        <v>46006.69514121528</v>
      </c>
      <c r="B51" s="29" t="s">
        <v>772</v>
      </c>
      <c r="C51" s="31" t="s">
        <v>773</v>
      </c>
      <c r="D51" s="32">
        <v>20.05699920654297</v>
      </c>
      <c r="E51" s="29" t="s">
        <v>679</v>
      </c>
      <c r="F51" s="33">
        <f t="shared" si="1"/>
        <v>26.1273086</v>
      </c>
      <c r="G51" s="33">
        <f t="shared" si="2"/>
        <v>91.8130481</v>
      </c>
    </row>
    <row r="52">
      <c r="A52" s="30">
        <v>46006.70847972222</v>
      </c>
      <c r="B52" s="29" t="s">
        <v>774</v>
      </c>
      <c r="C52" s="31" t="s">
        <v>775</v>
      </c>
      <c r="D52" s="32">
        <v>22.774999618530273</v>
      </c>
      <c r="E52" s="29" t="s">
        <v>679</v>
      </c>
      <c r="F52" s="33">
        <f t="shared" si="1"/>
        <v>26.1287194</v>
      </c>
      <c r="G52" s="33">
        <f t="shared" si="2"/>
        <v>91.8113481</v>
      </c>
    </row>
    <row r="53">
      <c r="A53" s="30">
        <v>46006.71405113426</v>
      </c>
      <c r="B53" s="29" t="s">
        <v>776</v>
      </c>
      <c r="C53" s="31" t="s">
        <v>777</v>
      </c>
      <c r="D53" s="32">
        <v>72.1500015258789</v>
      </c>
      <c r="E53" s="29" t="s">
        <v>679</v>
      </c>
      <c r="F53" s="33">
        <f t="shared" si="1"/>
        <v>26.1328454</v>
      </c>
      <c r="G53" s="33">
        <f t="shared" si="2"/>
        <v>91.8084186</v>
      </c>
    </row>
    <row r="54">
      <c r="A54" s="30">
        <v>46006.72204630787</v>
      </c>
      <c r="B54" s="29" t="s">
        <v>778</v>
      </c>
      <c r="C54" s="31" t="s">
        <v>779</v>
      </c>
      <c r="D54" s="32">
        <v>11.49899959564209</v>
      </c>
      <c r="E54" s="29" t="s">
        <v>679</v>
      </c>
      <c r="F54" s="33">
        <f t="shared" si="1"/>
        <v>26.1375921</v>
      </c>
      <c r="G54" s="33">
        <f t="shared" si="2"/>
        <v>91.8110318</v>
      </c>
    </row>
    <row r="55">
      <c r="A55" s="30">
        <v>46006.72629295139</v>
      </c>
      <c r="B55" s="29" t="s">
        <v>780</v>
      </c>
      <c r="C55" s="31" t="s">
        <v>781</v>
      </c>
      <c r="D55" s="32">
        <v>33.612998962402344</v>
      </c>
      <c r="E55" s="29" t="s">
        <v>679</v>
      </c>
      <c r="F55" s="33">
        <f t="shared" si="1"/>
        <v>26.1412074</v>
      </c>
      <c r="G55" s="33">
        <f t="shared" si="2"/>
        <v>91.8114867</v>
      </c>
    </row>
    <row r="56">
      <c r="A56" s="30">
        <v>46007.60876052083</v>
      </c>
      <c r="B56" s="29" t="s">
        <v>782</v>
      </c>
      <c r="C56" s="31" t="s">
        <v>783</v>
      </c>
      <c r="D56" s="32">
        <v>10.967000007629395</v>
      </c>
      <c r="E56" s="29" t="s">
        <v>679</v>
      </c>
      <c r="F56" s="33">
        <f t="shared" si="1"/>
        <v>26.1401414</v>
      </c>
      <c r="G56" s="33">
        <f t="shared" si="2"/>
        <v>91.7876469</v>
      </c>
    </row>
    <row r="57">
      <c r="A57" s="30">
        <v>46007.619339780096</v>
      </c>
      <c r="B57" s="29" t="s">
        <v>784</v>
      </c>
      <c r="C57" s="31" t="s">
        <v>785</v>
      </c>
      <c r="D57" s="32">
        <v>24.090999603271484</v>
      </c>
      <c r="E57" s="29" t="s">
        <v>679</v>
      </c>
      <c r="F57" s="33">
        <f t="shared" si="1"/>
        <v>26.1446114</v>
      </c>
      <c r="G57" s="33">
        <f t="shared" si="2"/>
        <v>91.7851826</v>
      </c>
    </row>
    <row r="58">
      <c r="A58" s="30">
        <v>46007.62685587963</v>
      </c>
      <c r="B58" s="29" t="s">
        <v>786</v>
      </c>
      <c r="C58" s="31" t="s">
        <v>787</v>
      </c>
      <c r="D58" s="32">
        <v>11.628999710083008</v>
      </c>
      <c r="E58" s="29" t="s">
        <v>679</v>
      </c>
      <c r="F58" s="33">
        <f t="shared" si="1"/>
        <v>26.1441035</v>
      </c>
      <c r="G58" s="33">
        <f t="shared" si="2"/>
        <v>91.782363</v>
      </c>
    </row>
    <row r="59">
      <c r="A59" s="30">
        <v>46007.63659400463</v>
      </c>
      <c r="B59" s="29" t="s">
        <v>788</v>
      </c>
      <c r="C59" s="31" t="s">
        <v>789</v>
      </c>
      <c r="D59" s="32">
        <v>32.229000091552734</v>
      </c>
      <c r="E59" s="29" t="s">
        <v>679</v>
      </c>
      <c r="F59" s="33">
        <f t="shared" si="1"/>
        <v>26.1444113</v>
      </c>
      <c r="G59" s="33">
        <f t="shared" si="2"/>
        <v>91.7840211</v>
      </c>
    </row>
    <row r="60">
      <c r="A60" s="30">
        <v>46007.65679425926</v>
      </c>
      <c r="B60" s="29" t="s">
        <v>790</v>
      </c>
      <c r="C60" s="31" t="s">
        <v>791</v>
      </c>
      <c r="D60" s="32">
        <v>17.27899932861328</v>
      </c>
      <c r="E60" s="29" t="s">
        <v>679</v>
      </c>
      <c r="F60" s="33">
        <f t="shared" si="1"/>
        <v>26.1911369</v>
      </c>
      <c r="G60" s="33">
        <f t="shared" si="2"/>
        <v>91.7557362</v>
      </c>
    </row>
    <row r="61">
      <c r="A61" s="30">
        <v>46009.523098460646</v>
      </c>
      <c r="B61" s="29" t="s">
        <v>792</v>
      </c>
      <c r="C61" s="31" t="s">
        <v>793</v>
      </c>
      <c r="D61" s="32">
        <v>6.318999767303467</v>
      </c>
      <c r="E61" s="29" t="s">
        <v>679</v>
      </c>
      <c r="F61" s="33">
        <f t="shared" si="1"/>
        <v>26.1501826</v>
      </c>
      <c r="G61" s="33">
        <f t="shared" si="2"/>
        <v>91.6713809</v>
      </c>
    </row>
    <row r="62">
      <c r="A62" s="30">
        <v>46009.54542498842</v>
      </c>
      <c r="B62" s="29" t="s">
        <v>794</v>
      </c>
      <c r="C62" s="31" t="s">
        <v>795</v>
      </c>
      <c r="D62" s="32">
        <v>17.466999053955078</v>
      </c>
      <c r="E62" s="29" t="s">
        <v>679</v>
      </c>
      <c r="F62" s="33">
        <f t="shared" si="1"/>
        <v>26.1497712</v>
      </c>
      <c r="G62" s="33">
        <f t="shared" si="2"/>
        <v>91.6706637</v>
      </c>
    </row>
    <row r="63">
      <c r="A63" s="30">
        <v>46009.54769212963</v>
      </c>
      <c r="B63" s="29" t="s">
        <v>796</v>
      </c>
      <c r="C63" s="31" t="s">
        <v>797</v>
      </c>
      <c r="D63" s="32">
        <v>19.774999618530273</v>
      </c>
      <c r="E63" s="29" t="s">
        <v>679</v>
      </c>
      <c r="F63" s="33">
        <f t="shared" si="1"/>
        <v>26.1496669</v>
      </c>
      <c r="G63" s="33">
        <f t="shared" si="2"/>
        <v>91.6699622</v>
      </c>
    </row>
    <row r="64">
      <c r="A64" s="30">
        <v>46009.60118699074</v>
      </c>
      <c r="B64" s="29" t="s">
        <v>798</v>
      </c>
      <c r="C64" s="31" t="s">
        <v>799</v>
      </c>
      <c r="D64" s="32">
        <v>32.82600021362305</v>
      </c>
      <c r="E64" s="29" t="s">
        <v>679</v>
      </c>
      <c r="F64" s="33">
        <f t="shared" si="1"/>
        <v>26.1228855</v>
      </c>
      <c r="G64" s="33">
        <f t="shared" si="2"/>
        <v>91.6171003</v>
      </c>
    </row>
    <row r="65">
      <c r="A65" s="30">
        <v>46009.60557364584</v>
      </c>
      <c r="B65" s="29" t="s">
        <v>800</v>
      </c>
      <c r="C65" s="31" t="s">
        <v>801</v>
      </c>
      <c r="D65" s="32">
        <v>18.170000076293945</v>
      </c>
      <c r="E65" s="29" t="s">
        <v>679</v>
      </c>
      <c r="F65" s="33">
        <f t="shared" si="1"/>
        <v>26.1212675</v>
      </c>
      <c r="G65" s="33">
        <f t="shared" si="2"/>
        <v>91.6160886</v>
      </c>
    </row>
    <row r="66">
      <c r="A66" s="30">
        <v>46009.60558221064</v>
      </c>
      <c r="B66" s="29" t="s">
        <v>800</v>
      </c>
      <c r="C66" s="31" t="s">
        <v>801</v>
      </c>
      <c r="D66" s="32">
        <v>18.170000076293945</v>
      </c>
      <c r="E66" s="29" t="s">
        <v>679</v>
      </c>
      <c r="F66" s="33">
        <f t="shared" si="1"/>
        <v>26.1212675</v>
      </c>
      <c r="G66" s="33">
        <f t="shared" si="2"/>
        <v>91.6160886</v>
      </c>
    </row>
    <row r="67">
      <c r="A67" s="30">
        <v>46009.61103774306</v>
      </c>
      <c r="B67" s="29" t="s">
        <v>802</v>
      </c>
      <c r="C67" s="31" t="s">
        <v>803</v>
      </c>
      <c r="D67" s="32">
        <v>32.98099899291992</v>
      </c>
      <c r="E67" s="29" t="s">
        <v>679</v>
      </c>
      <c r="F67" s="33">
        <f t="shared" si="1"/>
        <v>26.1189909</v>
      </c>
      <c r="G67" s="33">
        <f t="shared" si="2"/>
        <v>91.6146966</v>
      </c>
    </row>
    <row r="68">
      <c r="A68" s="30">
        <v>46009.61333086806</v>
      </c>
      <c r="B68" s="29" t="s">
        <v>804</v>
      </c>
      <c r="C68" s="31" t="s">
        <v>805</v>
      </c>
      <c r="D68" s="32">
        <v>18.756000518798828</v>
      </c>
      <c r="E68" s="29" t="s">
        <v>679</v>
      </c>
      <c r="F68" s="33">
        <f t="shared" si="1"/>
        <v>26.1189531</v>
      </c>
      <c r="G68" s="33">
        <f t="shared" si="2"/>
        <v>91.6150266</v>
      </c>
    </row>
    <row r="69">
      <c r="A69" s="30">
        <v>46009.63716775463</v>
      </c>
      <c r="B69" s="29" t="s">
        <v>806</v>
      </c>
      <c r="C69" s="31" t="s">
        <v>807</v>
      </c>
      <c r="D69" s="32">
        <v>13.512999534606934</v>
      </c>
      <c r="E69" s="29" t="s">
        <v>679</v>
      </c>
      <c r="F69" s="33">
        <f t="shared" si="1"/>
        <v>26.0903883</v>
      </c>
      <c r="G69" s="33">
        <f t="shared" si="2"/>
        <v>91.5359441</v>
      </c>
    </row>
    <row r="70">
      <c r="A70" s="30">
        <v>46009.64980467592</v>
      </c>
      <c r="B70" s="29" t="s">
        <v>808</v>
      </c>
      <c r="C70" s="31" t="s">
        <v>809</v>
      </c>
      <c r="D70" s="32">
        <v>28.700000762939453</v>
      </c>
      <c r="E70" s="29" t="s">
        <v>679</v>
      </c>
      <c r="F70" s="33">
        <f t="shared" si="1"/>
        <v>26.0909822</v>
      </c>
      <c r="G70" s="33">
        <f t="shared" si="2"/>
        <v>91.5360604</v>
      </c>
    </row>
    <row r="71">
      <c r="A71" s="30">
        <v>46009.65567260417</v>
      </c>
      <c r="B71" s="29" t="s">
        <v>810</v>
      </c>
      <c r="C71" s="31" t="s">
        <v>811</v>
      </c>
      <c r="D71" s="32">
        <v>20.77400016784668</v>
      </c>
      <c r="E71" s="29" t="s">
        <v>679</v>
      </c>
      <c r="F71" s="33">
        <f t="shared" si="1"/>
        <v>26.092794</v>
      </c>
      <c r="G71" s="33">
        <f t="shared" si="2"/>
        <v>91.5361209</v>
      </c>
    </row>
    <row r="72">
      <c r="A72" s="30">
        <v>46009.661077893514</v>
      </c>
      <c r="B72" s="29" t="s">
        <v>812</v>
      </c>
      <c r="C72" s="31" t="s">
        <v>813</v>
      </c>
      <c r="D72" s="32">
        <v>13.256999969482422</v>
      </c>
      <c r="E72" s="29" t="s">
        <v>679</v>
      </c>
      <c r="F72" s="33">
        <f t="shared" si="1"/>
        <v>26.0928316</v>
      </c>
      <c r="G72" s="33">
        <f t="shared" si="2"/>
        <v>91.5372771</v>
      </c>
    </row>
    <row r="73">
      <c r="A73" s="30">
        <v>46009.66504989583</v>
      </c>
      <c r="B73" s="29" t="s">
        <v>814</v>
      </c>
      <c r="C73" s="31" t="s">
        <v>815</v>
      </c>
      <c r="D73" s="32">
        <v>17.231000900268555</v>
      </c>
      <c r="E73" s="29" t="s">
        <v>679</v>
      </c>
      <c r="F73" s="33">
        <f t="shared" si="1"/>
        <v>26.0928809</v>
      </c>
      <c r="G73" s="33">
        <f t="shared" si="2"/>
        <v>91.5397801</v>
      </c>
    </row>
    <row r="74">
      <c r="A74" s="30">
        <v>46009.67833686342</v>
      </c>
      <c r="B74" s="29" t="s">
        <v>816</v>
      </c>
      <c r="C74" s="31" t="s">
        <v>817</v>
      </c>
      <c r="D74" s="32">
        <v>39.599998474121094</v>
      </c>
      <c r="E74" s="29" t="s">
        <v>679</v>
      </c>
      <c r="F74" s="33">
        <f t="shared" si="1"/>
        <v>26.1006532</v>
      </c>
      <c r="G74" s="33">
        <f t="shared" si="2"/>
        <v>91.5988403</v>
      </c>
    </row>
    <row r="75">
      <c r="A75" s="30">
        <v>46010.644961122685</v>
      </c>
      <c r="B75" s="29" t="s">
        <v>818</v>
      </c>
      <c r="C75" s="31" t="s">
        <v>819</v>
      </c>
      <c r="D75" s="32">
        <v>27.57900047302246</v>
      </c>
      <c r="E75" s="29" t="s">
        <v>679</v>
      </c>
      <c r="F75" s="33">
        <f t="shared" si="1"/>
        <v>26.0668545</v>
      </c>
      <c r="G75" s="33">
        <f t="shared" si="2"/>
        <v>91.5294082</v>
      </c>
    </row>
    <row r="76">
      <c r="A76" s="30">
        <v>46010.66801533564</v>
      </c>
      <c r="B76" s="29" t="s">
        <v>820</v>
      </c>
      <c r="C76" s="31" t="s">
        <v>821</v>
      </c>
      <c r="D76" s="32">
        <v>23.10099983215332</v>
      </c>
      <c r="E76" s="29" t="s">
        <v>679</v>
      </c>
      <c r="F76" s="33">
        <f t="shared" si="1"/>
        <v>26.0911159</v>
      </c>
      <c r="G76" s="33">
        <f t="shared" si="2"/>
        <v>91.5362626</v>
      </c>
    </row>
    <row r="77">
      <c r="A77" s="30">
        <v>46010.671290150465</v>
      </c>
      <c r="B77" s="29" t="s">
        <v>822</v>
      </c>
      <c r="C77" s="31" t="s">
        <v>823</v>
      </c>
      <c r="D77" s="32">
        <v>44.694000244140625</v>
      </c>
      <c r="E77" s="29" t="s">
        <v>679</v>
      </c>
      <c r="F77" s="33">
        <f t="shared" si="1"/>
        <v>26.0936503</v>
      </c>
      <c r="G77" s="33">
        <f t="shared" si="2"/>
        <v>91.5367321</v>
      </c>
    </row>
    <row r="78">
      <c r="A78" s="30">
        <v>46010.67374923611</v>
      </c>
      <c r="B78" s="29" t="s">
        <v>824</v>
      </c>
      <c r="C78" s="31" t="s">
        <v>825</v>
      </c>
      <c r="D78" s="32">
        <v>19.87299919128418</v>
      </c>
      <c r="E78" s="29" t="s">
        <v>679</v>
      </c>
      <c r="F78" s="33">
        <f t="shared" si="1"/>
        <v>26.0933345</v>
      </c>
      <c r="G78" s="33">
        <f t="shared" si="2"/>
        <v>91.5367203</v>
      </c>
    </row>
    <row r="79">
      <c r="A79" s="30">
        <v>46010.67736792824</v>
      </c>
      <c r="B79" s="29" t="s">
        <v>826</v>
      </c>
      <c r="C79" s="31" t="s">
        <v>827</v>
      </c>
      <c r="D79" s="32">
        <v>11.480999946594238</v>
      </c>
      <c r="E79" s="29" t="s">
        <v>679</v>
      </c>
      <c r="F79" s="33">
        <f t="shared" si="1"/>
        <v>26.0940945</v>
      </c>
      <c r="G79" s="33">
        <f t="shared" si="2"/>
        <v>91.536815</v>
      </c>
    </row>
    <row r="80">
      <c r="A80" s="30">
        <v>46010.67750579861</v>
      </c>
      <c r="B80" s="29" t="s">
        <v>826</v>
      </c>
      <c r="C80" s="31" t="s">
        <v>828</v>
      </c>
      <c r="D80" s="32">
        <v>11.559000015258789</v>
      </c>
      <c r="E80" s="29" t="s">
        <v>679</v>
      </c>
      <c r="F80" s="33">
        <f t="shared" si="1"/>
        <v>26.0940715</v>
      </c>
      <c r="G80" s="33">
        <f t="shared" si="2"/>
        <v>91.5368063</v>
      </c>
    </row>
    <row r="81">
      <c r="A81" s="30">
        <v>46010.68380733796</v>
      </c>
      <c r="B81" s="29" t="s">
        <v>829</v>
      </c>
      <c r="C81" s="31" t="s">
        <v>830</v>
      </c>
      <c r="D81" s="32">
        <v>30.51799964904785</v>
      </c>
      <c r="E81" s="29" t="s">
        <v>679</v>
      </c>
      <c r="F81" s="33">
        <f t="shared" si="1"/>
        <v>26.0927973</v>
      </c>
      <c r="G81" s="33">
        <f t="shared" si="2"/>
        <v>91.5434864</v>
      </c>
    </row>
    <row r="82">
      <c r="A82" s="30">
        <v>46010.700874375005</v>
      </c>
      <c r="B82" s="29" t="s">
        <v>831</v>
      </c>
      <c r="C82" s="31" t="s">
        <v>832</v>
      </c>
      <c r="D82" s="32">
        <v>24.990999221801758</v>
      </c>
      <c r="E82" s="29" t="s">
        <v>679</v>
      </c>
      <c r="F82" s="33">
        <f t="shared" si="1"/>
        <v>26.0998323</v>
      </c>
      <c r="G82" s="33">
        <f t="shared" si="2"/>
        <v>91.5970292</v>
      </c>
    </row>
    <row r="83">
      <c r="A83" s="30">
        <v>46010.70825635416</v>
      </c>
      <c r="B83" s="29" t="s">
        <v>833</v>
      </c>
      <c r="C83" s="31" t="s">
        <v>834</v>
      </c>
      <c r="D83" s="32">
        <v>51.83100128173828</v>
      </c>
      <c r="E83" s="29" t="s">
        <v>679</v>
      </c>
      <c r="F83" s="33">
        <f t="shared" si="1"/>
        <v>26.1003124</v>
      </c>
      <c r="G83" s="33">
        <f t="shared" si="2"/>
        <v>91.599372</v>
      </c>
    </row>
    <row r="84">
      <c r="A84" s="30">
        <v>46010.71835166667</v>
      </c>
      <c r="B84" s="29" t="s">
        <v>835</v>
      </c>
      <c r="C84" s="31" t="s">
        <v>836</v>
      </c>
      <c r="D84" s="32">
        <v>20.320999145507812</v>
      </c>
      <c r="E84" s="29" t="s">
        <v>679</v>
      </c>
      <c r="F84" s="33">
        <f t="shared" si="1"/>
        <v>26.100049</v>
      </c>
      <c r="G84" s="33">
        <f t="shared" si="2"/>
        <v>91.61197</v>
      </c>
    </row>
    <row r="85">
      <c r="A85" s="30">
        <v>46011.578754421294</v>
      </c>
      <c r="B85" s="29" t="s">
        <v>251</v>
      </c>
      <c r="C85" s="31" t="s">
        <v>837</v>
      </c>
      <c r="D85" s="32">
        <v>27.231000900268555</v>
      </c>
      <c r="E85" s="29" t="s">
        <v>679</v>
      </c>
      <c r="F85" s="33">
        <f t="shared" si="1"/>
        <v>26.1428814</v>
      </c>
      <c r="G85" s="33">
        <f t="shared" si="2"/>
        <v>91.811969</v>
      </c>
    </row>
    <row r="86">
      <c r="A86" s="30">
        <v>46011.60418541667</v>
      </c>
      <c r="B86" s="29" t="s">
        <v>838</v>
      </c>
      <c r="C86" s="31" t="s">
        <v>839</v>
      </c>
      <c r="D86" s="32">
        <v>14.255000114440918</v>
      </c>
      <c r="E86" s="29" t="s">
        <v>679</v>
      </c>
      <c r="F86" s="33">
        <f t="shared" si="1"/>
        <v>26.1447389</v>
      </c>
      <c r="G86" s="33">
        <f t="shared" si="2"/>
        <v>91.8114919</v>
      </c>
    </row>
    <row r="87">
      <c r="A87" s="30">
        <v>46011.61964208333</v>
      </c>
      <c r="B87" s="29" t="s">
        <v>840</v>
      </c>
      <c r="C87" s="31" t="s">
        <v>841</v>
      </c>
      <c r="D87" s="32">
        <v>28.80299949645996</v>
      </c>
      <c r="E87" s="29" t="s">
        <v>679</v>
      </c>
      <c r="F87" s="33">
        <f t="shared" si="1"/>
        <v>26.1685905</v>
      </c>
      <c r="G87" s="33">
        <f t="shared" si="2"/>
        <v>91.8274937</v>
      </c>
    </row>
    <row r="88">
      <c r="A88" s="30">
        <v>46011.62618825231</v>
      </c>
      <c r="B88" s="29" t="s">
        <v>842</v>
      </c>
      <c r="C88" s="31" t="s">
        <v>843</v>
      </c>
      <c r="D88" s="32">
        <v>9.36299991607666</v>
      </c>
      <c r="E88" s="29" t="s">
        <v>679</v>
      </c>
      <c r="F88" s="33">
        <f t="shared" si="1"/>
        <v>26.1691924</v>
      </c>
      <c r="G88" s="33">
        <f t="shared" si="2"/>
        <v>91.827971</v>
      </c>
    </row>
    <row r="89">
      <c r="A89" s="30">
        <v>46011.6353134838</v>
      </c>
      <c r="B89" s="29" t="s">
        <v>262</v>
      </c>
      <c r="C89" s="31" t="s">
        <v>844</v>
      </c>
      <c r="D89" s="32">
        <v>16.507999420166016</v>
      </c>
      <c r="E89" s="29" t="s">
        <v>679</v>
      </c>
      <c r="F89" s="33">
        <f t="shared" si="1"/>
        <v>26.1783734</v>
      </c>
      <c r="G89" s="33">
        <f t="shared" si="2"/>
        <v>91.8297208</v>
      </c>
    </row>
    <row r="90">
      <c r="A90" s="30">
        <v>46011.646563726856</v>
      </c>
      <c r="B90" s="29" t="s">
        <v>845</v>
      </c>
      <c r="C90" s="31" t="s">
        <v>846</v>
      </c>
      <c r="D90" s="32">
        <v>35.933998107910156</v>
      </c>
      <c r="E90" s="29" t="s">
        <v>679</v>
      </c>
      <c r="F90" s="33">
        <f t="shared" si="1"/>
        <v>26.1785304</v>
      </c>
      <c r="G90" s="33">
        <f t="shared" si="2"/>
        <v>91.8294651</v>
      </c>
    </row>
    <row r="91">
      <c r="A91" s="30">
        <v>46011.70947714121</v>
      </c>
      <c r="B91" s="29" t="s">
        <v>622</v>
      </c>
      <c r="C91" s="31" t="s">
        <v>847</v>
      </c>
      <c r="D91" s="32">
        <v>11.265999794006348</v>
      </c>
      <c r="E91" s="29" t="s">
        <v>679</v>
      </c>
      <c r="F91" s="33">
        <f t="shared" si="1"/>
        <v>26.1775338</v>
      </c>
      <c r="G91" s="33">
        <f t="shared" si="2"/>
        <v>91.8040292</v>
      </c>
    </row>
    <row r="92">
      <c r="A92" s="30">
        <v>46011.71306310185</v>
      </c>
      <c r="B92" s="29" t="s">
        <v>848</v>
      </c>
      <c r="C92" s="31" t="s">
        <v>849</v>
      </c>
      <c r="D92" s="32">
        <v>43.7859992980957</v>
      </c>
      <c r="E92" s="29" t="s">
        <v>679</v>
      </c>
      <c r="F92" s="33">
        <f t="shared" si="1"/>
        <v>26.1764785</v>
      </c>
      <c r="G92" s="33">
        <f t="shared" si="2"/>
        <v>91.8033764</v>
      </c>
    </row>
    <row r="93">
      <c r="A93" s="30">
        <v>46011.72616982639</v>
      </c>
      <c r="B93" s="29" t="s">
        <v>850</v>
      </c>
      <c r="C93" s="31" t="s">
        <v>851</v>
      </c>
      <c r="D93" s="32">
        <v>26.336999893188477</v>
      </c>
      <c r="E93" s="29" t="s">
        <v>679</v>
      </c>
      <c r="F93" s="33">
        <f t="shared" si="1"/>
        <v>26.1687739</v>
      </c>
      <c r="G93" s="33">
        <f t="shared" si="2"/>
        <v>91.7799504</v>
      </c>
    </row>
    <row r="94">
      <c r="A94" s="30">
        <v>46011.72617040509</v>
      </c>
      <c r="B94" s="29" t="s">
        <v>850</v>
      </c>
      <c r="C94" s="31" t="s">
        <v>851</v>
      </c>
      <c r="D94" s="32">
        <v>26.336999893188477</v>
      </c>
      <c r="E94" s="29" t="s">
        <v>679</v>
      </c>
      <c r="F94" s="33">
        <f t="shared" si="1"/>
        <v>26.1687739</v>
      </c>
      <c r="G94" s="33">
        <f t="shared" si="2"/>
        <v>91.7799504</v>
      </c>
    </row>
    <row r="95">
      <c r="A95" s="30">
        <v>46013.440816331015</v>
      </c>
      <c r="B95" s="29" t="s">
        <v>852</v>
      </c>
      <c r="C95" s="31" t="s">
        <v>853</v>
      </c>
      <c r="D95" s="32">
        <v>35.0</v>
      </c>
      <c r="E95" s="29" t="s">
        <v>854</v>
      </c>
      <c r="F95" s="33">
        <f t="shared" si="1"/>
        <v>26.15994791</v>
      </c>
      <c r="G95" s="33">
        <f t="shared" si="2"/>
        <v>91.77342802</v>
      </c>
    </row>
    <row r="96">
      <c r="A96" s="30">
        <v>46013.630555578704</v>
      </c>
      <c r="B96" s="29" t="s">
        <v>855</v>
      </c>
      <c r="C96" s="31" t="s">
        <v>856</v>
      </c>
      <c r="D96" s="32">
        <v>35.0</v>
      </c>
      <c r="E96" s="29" t="s">
        <v>854</v>
      </c>
      <c r="F96" s="33">
        <f t="shared" si="1"/>
        <v>26.15994571</v>
      </c>
      <c r="G96" s="33">
        <f t="shared" si="2"/>
        <v>91.77342456</v>
      </c>
    </row>
    <row r="97">
      <c r="A97" s="30">
        <v>46013.71372493055</v>
      </c>
      <c r="B97" s="29" t="s">
        <v>275</v>
      </c>
      <c r="C97" s="31" t="s">
        <v>857</v>
      </c>
      <c r="D97" s="32">
        <v>23.736000061035156</v>
      </c>
      <c r="E97" s="29" t="s">
        <v>679</v>
      </c>
      <c r="F97" s="33">
        <f t="shared" si="1"/>
        <v>26.1769797</v>
      </c>
      <c r="G97" s="33">
        <f t="shared" si="2"/>
        <v>91.8305447</v>
      </c>
    </row>
    <row r="98">
      <c r="A98" s="30">
        <v>46013.715512002316</v>
      </c>
      <c r="B98" s="29" t="s">
        <v>858</v>
      </c>
      <c r="C98" s="31" t="s">
        <v>859</v>
      </c>
      <c r="D98" s="32">
        <v>21.743000030517578</v>
      </c>
      <c r="E98" s="29" t="s">
        <v>679</v>
      </c>
      <c r="F98" s="33">
        <f t="shared" si="1"/>
        <v>26.1770375</v>
      </c>
      <c r="G98" s="33">
        <f t="shared" si="2"/>
        <v>91.8306062</v>
      </c>
    </row>
    <row r="99">
      <c r="A99" s="30">
        <v>46013.71788505787</v>
      </c>
      <c r="B99" s="29" t="s">
        <v>860</v>
      </c>
      <c r="C99" s="31" t="s">
        <v>861</v>
      </c>
      <c r="D99" s="32">
        <v>11.494999885559082</v>
      </c>
      <c r="E99" s="29" t="s">
        <v>679</v>
      </c>
      <c r="F99" s="33">
        <f t="shared" si="1"/>
        <v>26.1765132</v>
      </c>
      <c r="G99" s="33">
        <f t="shared" si="2"/>
        <v>91.8307312</v>
      </c>
    </row>
    <row r="100">
      <c r="A100" s="30">
        <v>46013.72777863426</v>
      </c>
      <c r="B100" s="29" t="s">
        <v>281</v>
      </c>
      <c r="C100" s="31" t="s">
        <v>862</v>
      </c>
      <c r="D100" s="32">
        <v>5.982999801635742</v>
      </c>
      <c r="E100" s="29" t="s">
        <v>679</v>
      </c>
      <c r="F100" s="33">
        <f t="shared" si="1"/>
        <v>26.172029</v>
      </c>
      <c r="G100" s="33">
        <f t="shared" si="2"/>
        <v>91.8297248</v>
      </c>
    </row>
    <row r="101">
      <c r="A101" s="30">
        <v>46014.47477193287</v>
      </c>
      <c r="B101" s="29" t="s">
        <v>863</v>
      </c>
      <c r="C101" s="31" t="s">
        <v>864</v>
      </c>
      <c r="D101" s="32">
        <v>35.0</v>
      </c>
      <c r="E101" s="29" t="s">
        <v>854</v>
      </c>
      <c r="F101" s="33">
        <f t="shared" si="1"/>
        <v>26.16005296</v>
      </c>
      <c r="G101" s="33">
        <f t="shared" si="2"/>
        <v>91.7734818</v>
      </c>
    </row>
    <row r="102">
      <c r="A102" s="30">
        <v>46014.52532222222</v>
      </c>
      <c r="B102" s="29" t="s">
        <v>865</v>
      </c>
      <c r="C102" s="31" t="s">
        <v>866</v>
      </c>
      <c r="D102" s="32">
        <v>56.099998474121094</v>
      </c>
      <c r="E102" s="29" t="s">
        <v>679</v>
      </c>
      <c r="F102" s="33">
        <f t="shared" si="1"/>
        <v>26.1518013</v>
      </c>
      <c r="G102" s="33">
        <f t="shared" si="2"/>
        <v>91.870668</v>
      </c>
    </row>
    <row r="103">
      <c r="A103" s="30">
        <v>46014.531783252314</v>
      </c>
      <c r="B103" s="29" t="s">
        <v>867</v>
      </c>
      <c r="C103" s="31" t="s">
        <v>868</v>
      </c>
      <c r="D103" s="32">
        <v>21.600000381469727</v>
      </c>
      <c r="E103" s="29" t="s">
        <v>684</v>
      </c>
      <c r="F103" s="33">
        <f t="shared" si="1"/>
        <v>26.1194435</v>
      </c>
      <c r="G103" s="33">
        <f t="shared" si="2"/>
        <v>91.8260692</v>
      </c>
    </row>
    <row r="104">
      <c r="A104" s="30">
        <v>46014.53617872685</v>
      </c>
      <c r="B104" s="29" t="s">
        <v>869</v>
      </c>
      <c r="C104" s="31" t="s">
        <v>870</v>
      </c>
      <c r="D104" s="32">
        <v>12.013999938964844</v>
      </c>
      <c r="E104" s="29" t="s">
        <v>679</v>
      </c>
      <c r="F104" s="33">
        <f t="shared" si="1"/>
        <v>26.1593066</v>
      </c>
      <c r="G104" s="33">
        <f t="shared" si="2"/>
        <v>91.8376276</v>
      </c>
    </row>
    <row r="105">
      <c r="A105" s="30">
        <v>46014.544113703705</v>
      </c>
      <c r="B105" s="29" t="s">
        <v>871</v>
      </c>
      <c r="C105" s="31" t="s">
        <v>872</v>
      </c>
      <c r="D105" s="32">
        <v>11.496000289916992</v>
      </c>
      <c r="E105" s="29" t="s">
        <v>679</v>
      </c>
      <c r="F105" s="33">
        <f t="shared" si="1"/>
        <v>26.1656377</v>
      </c>
      <c r="G105" s="33">
        <f t="shared" si="2"/>
        <v>91.8313502</v>
      </c>
    </row>
    <row r="106">
      <c r="A106" s="30">
        <v>46014.54640511574</v>
      </c>
      <c r="B106" s="29" t="s">
        <v>873</v>
      </c>
      <c r="C106" s="31" t="s">
        <v>874</v>
      </c>
      <c r="D106" s="32">
        <v>20.548999786376953</v>
      </c>
      <c r="E106" s="29" t="s">
        <v>684</v>
      </c>
      <c r="F106" s="33">
        <f t="shared" si="1"/>
        <v>26.1242639</v>
      </c>
      <c r="G106" s="33">
        <f t="shared" si="2"/>
        <v>91.8166491</v>
      </c>
    </row>
    <row r="107">
      <c r="A107" s="30">
        <v>46014.54653839121</v>
      </c>
      <c r="B107" s="29" t="s">
        <v>873</v>
      </c>
      <c r="C107" s="31" t="s">
        <v>875</v>
      </c>
      <c r="D107" s="32">
        <v>12.902999877929688</v>
      </c>
      <c r="E107" s="29" t="s">
        <v>684</v>
      </c>
      <c r="F107" s="33">
        <f t="shared" si="1"/>
        <v>26.1242208</v>
      </c>
      <c r="G107" s="33">
        <f t="shared" si="2"/>
        <v>91.8166882</v>
      </c>
    </row>
    <row r="108">
      <c r="A108" s="30">
        <v>46014.54873527778</v>
      </c>
      <c r="B108" s="29" t="s">
        <v>876</v>
      </c>
      <c r="C108" s="31" t="s">
        <v>877</v>
      </c>
      <c r="D108" s="32">
        <v>26.016000747680664</v>
      </c>
      <c r="E108" s="29" t="s">
        <v>679</v>
      </c>
      <c r="F108" s="33">
        <f t="shared" si="1"/>
        <v>26.1683273</v>
      </c>
      <c r="G108" s="33">
        <f t="shared" si="2"/>
        <v>91.8297838</v>
      </c>
    </row>
    <row r="109">
      <c r="A109" s="30">
        <v>46014.56162099537</v>
      </c>
      <c r="B109" s="29" t="s">
        <v>303</v>
      </c>
      <c r="C109" s="31" t="s">
        <v>878</v>
      </c>
      <c r="D109" s="32">
        <v>12.515999794006348</v>
      </c>
      <c r="E109" s="29" t="s">
        <v>679</v>
      </c>
      <c r="F109" s="33">
        <f t="shared" si="1"/>
        <v>26.1815903</v>
      </c>
      <c r="G109" s="33">
        <f t="shared" si="2"/>
        <v>91.8029635</v>
      </c>
    </row>
    <row r="110">
      <c r="A110" s="30">
        <v>46014.56744778935</v>
      </c>
      <c r="B110" s="29" t="s">
        <v>299</v>
      </c>
      <c r="C110" s="31" t="s">
        <v>879</v>
      </c>
      <c r="D110" s="32">
        <v>11.279999732971191</v>
      </c>
      <c r="E110" s="29" t="s">
        <v>684</v>
      </c>
      <c r="F110" s="33">
        <f t="shared" si="1"/>
        <v>26.1249622</v>
      </c>
      <c r="G110" s="33">
        <f t="shared" si="2"/>
        <v>91.8160205</v>
      </c>
    </row>
    <row r="111">
      <c r="A111" s="30">
        <v>46014.589916620374</v>
      </c>
      <c r="B111" s="29" t="s">
        <v>880</v>
      </c>
      <c r="C111" s="31" t="s">
        <v>881</v>
      </c>
      <c r="D111" s="32">
        <v>33.020999908447266</v>
      </c>
      <c r="E111" s="29" t="s">
        <v>679</v>
      </c>
      <c r="F111" s="33">
        <f t="shared" si="1"/>
        <v>26.1822893</v>
      </c>
      <c r="G111" s="33">
        <f t="shared" si="2"/>
        <v>91.8006371</v>
      </c>
    </row>
    <row r="112">
      <c r="A112" s="30">
        <v>46014.59521605324</v>
      </c>
      <c r="B112" s="29" t="s">
        <v>882</v>
      </c>
      <c r="C112" s="31" t="s">
        <v>883</v>
      </c>
      <c r="D112" s="32">
        <v>16.04599952697754</v>
      </c>
      <c r="E112" s="29" t="s">
        <v>684</v>
      </c>
      <c r="F112" s="33">
        <f t="shared" si="1"/>
        <v>26.1248431</v>
      </c>
      <c r="G112" s="33">
        <f t="shared" si="2"/>
        <v>91.8164863</v>
      </c>
    </row>
    <row r="113">
      <c r="A113" s="30">
        <v>46014.60020105324</v>
      </c>
      <c r="B113" s="29" t="s">
        <v>884</v>
      </c>
      <c r="C113" s="31" t="s">
        <v>885</v>
      </c>
      <c r="D113" s="32">
        <v>12.055000305175781</v>
      </c>
      <c r="E113" s="29" t="s">
        <v>684</v>
      </c>
      <c r="F113" s="33">
        <f t="shared" si="1"/>
        <v>26.1252954</v>
      </c>
      <c r="G113" s="33">
        <f t="shared" si="2"/>
        <v>91.8173404</v>
      </c>
    </row>
    <row r="114">
      <c r="A114" s="30">
        <v>46014.60984510416</v>
      </c>
      <c r="B114" s="29" t="s">
        <v>886</v>
      </c>
      <c r="C114" s="31" t="s">
        <v>887</v>
      </c>
      <c r="D114" s="32">
        <v>14.189000129699707</v>
      </c>
      <c r="E114" s="29" t="s">
        <v>679</v>
      </c>
      <c r="F114" s="33">
        <f t="shared" si="1"/>
        <v>26.1885529</v>
      </c>
      <c r="G114" s="33">
        <f t="shared" si="2"/>
        <v>91.7899111</v>
      </c>
    </row>
    <row r="115">
      <c r="A115" s="30">
        <v>46014.616997233796</v>
      </c>
      <c r="B115" s="29" t="s">
        <v>321</v>
      </c>
      <c r="C115" s="31" t="s">
        <v>888</v>
      </c>
      <c r="D115" s="32">
        <v>48.900001525878906</v>
      </c>
      <c r="E115" s="29" t="s">
        <v>684</v>
      </c>
      <c r="F115" s="33">
        <f t="shared" si="1"/>
        <v>26.1273899</v>
      </c>
      <c r="G115" s="33">
        <f t="shared" si="2"/>
        <v>91.8128035</v>
      </c>
    </row>
    <row r="116">
      <c r="A116" s="30">
        <v>46014.623381805555</v>
      </c>
      <c r="B116" s="29" t="s">
        <v>324</v>
      </c>
      <c r="C116" s="31" t="s">
        <v>889</v>
      </c>
      <c r="D116" s="32">
        <v>26.538999557495117</v>
      </c>
      <c r="E116" s="29" t="s">
        <v>679</v>
      </c>
      <c r="F116" s="33">
        <f t="shared" si="1"/>
        <v>26.1864637</v>
      </c>
      <c r="G116" s="33">
        <f t="shared" si="2"/>
        <v>91.7885891</v>
      </c>
    </row>
    <row r="117">
      <c r="A117" s="30">
        <v>46014.638184560186</v>
      </c>
      <c r="B117" s="29" t="s">
        <v>890</v>
      </c>
      <c r="C117" s="31" t="s">
        <v>891</v>
      </c>
      <c r="D117" s="32">
        <v>14.727999687194824</v>
      </c>
      <c r="E117" s="29" t="s">
        <v>679</v>
      </c>
      <c r="F117" s="33">
        <f t="shared" si="1"/>
        <v>26.1834813</v>
      </c>
      <c r="G117" s="33">
        <f t="shared" si="2"/>
        <v>91.781615</v>
      </c>
    </row>
    <row r="118">
      <c r="A118" s="30">
        <v>46014.6407227662</v>
      </c>
      <c r="B118" s="29" t="s">
        <v>892</v>
      </c>
      <c r="C118" s="31" t="s">
        <v>893</v>
      </c>
      <c r="D118" s="32">
        <v>37.0099983215332</v>
      </c>
      <c r="E118" s="29" t="s">
        <v>684</v>
      </c>
      <c r="F118" s="33">
        <f t="shared" si="1"/>
        <v>26.1384311</v>
      </c>
      <c r="G118" s="33">
        <f t="shared" si="2"/>
        <v>91.7998708</v>
      </c>
    </row>
    <row r="119">
      <c r="A119" s="30">
        <v>46014.64077439815</v>
      </c>
      <c r="B119" s="29" t="s">
        <v>894</v>
      </c>
      <c r="C119" s="31" t="s">
        <v>895</v>
      </c>
      <c r="D119" s="32">
        <v>13.465999603271484</v>
      </c>
      <c r="E119" s="29" t="s">
        <v>679</v>
      </c>
      <c r="F119" s="33">
        <f t="shared" si="1"/>
        <v>26.1834718</v>
      </c>
      <c r="G119" s="33">
        <f t="shared" si="2"/>
        <v>91.7816197</v>
      </c>
    </row>
    <row r="120">
      <c r="A120" s="30">
        <v>46014.65388224537</v>
      </c>
      <c r="B120" s="29" t="s">
        <v>896</v>
      </c>
      <c r="C120" s="31" t="s">
        <v>897</v>
      </c>
      <c r="D120" s="32">
        <v>13.869999885559082</v>
      </c>
      <c r="E120" s="29" t="s">
        <v>679</v>
      </c>
      <c r="F120" s="33">
        <f t="shared" si="1"/>
        <v>26.1850311</v>
      </c>
      <c r="G120" s="33">
        <f t="shared" si="2"/>
        <v>91.7580076</v>
      </c>
    </row>
    <row r="121">
      <c r="A121" s="30">
        <v>46014.653885057865</v>
      </c>
      <c r="B121" s="29" t="s">
        <v>896</v>
      </c>
      <c r="C121" s="31" t="s">
        <v>897</v>
      </c>
      <c r="D121" s="32">
        <v>13.869999885559082</v>
      </c>
      <c r="E121" s="29" t="s">
        <v>679</v>
      </c>
      <c r="F121" s="33">
        <f t="shared" si="1"/>
        <v>26.1850311</v>
      </c>
      <c r="G121" s="33">
        <f t="shared" si="2"/>
        <v>91.7580076</v>
      </c>
    </row>
    <row r="122">
      <c r="A122" s="30">
        <v>46014.67744194444</v>
      </c>
      <c r="B122" s="29" t="s">
        <v>898</v>
      </c>
      <c r="C122" s="31" t="s">
        <v>899</v>
      </c>
      <c r="D122" s="32">
        <v>11.513999938964844</v>
      </c>
      <c r="E122" s="29" t="s">
        <v>684</v>
      </c>
      <c r="F122" s="33">
        <f t="shared" si="1"/>
        <v>26.1552561</v>
      </c>
      <c r="G122" s="33">
        <f t="shared" si="2"/>
        <v>91.7789979</v>
      </c>
    </row>
    <row r="123">
      <c r="A123" s="30">
        <v>46014.71305203704</v>
      </c>
      <c r="B123" s="29" t="s">
        <v>351</v>
      </c>
      <c r="C123" s="31" t="s">
        <v>900</v>
      </c>
      <c r="D123" s="32">
        <v>20.44700050354004</v>
      </c>
      <c r="E123" s="29" t="s">
        <v>679</v>
      </c>
      <c r="F123" s="33">
        <f t="shared" si="1"/>
        <v>26.1674586</v>
      </c>
      <c r="G123" s="33">
        <f t="shared" si="2"/>
        <v>91.779143</v>
      </c>
    </row>
    <row r="124">
      <c r="A124" s="30">
        <v>46014.718649814815</v>
      </c>
      <c r="B124" s="29" t="s">
        <v>353</v>
      </c>
      <c r="C124" s="31" t="s">
        <v>901</v>
      </c>
      <c r="D124" s="32">
        <v>16.774999618530273</v>
      </c>
      <c r="E124" s="29" t="s">
        <v>679</v>
      </c>
      <c r="F124" s="33">
        <f t="shared" si="1"/>
        <v>26.1716081</v>
      </c>
      <c r="G124" s="33">
        <f t="shared" si="2"/>
        <v>91.777868</v>
      </c>
    </row>
    <row r="125">
      <c r="A125" s="30">
        <v>46014.729285995374</v>
      </c>
      <c r="B125" s="29" t="s">
        <v>356</v>
      </c>
      <c r="C125" s="31" t="s">
        <v>902</v>
      </c>
      <c r="D125" s="32">
        <v>14.086999893188477</v>
      </c>
      <c r="E125" s="29" t="s">
        <v>679</v>
      </c>
      <c r="F125" s="33">
        <f t="shared" si="1"/>
        <v>26.1740238</v>
      </c>
      <c r="G125" s="33">
        <f t="shared" si="2"/>
        <v>91.7770492</v>
      </c>
    </row>
    <row r="126">
      <c r="A126" s="30">
        <v>46014.73938287037</v>
      </c>
      <c r="B126" s="29" t="s">
        <v>359</v>
      </c>
      <c r="C126" s="31" t="s">
        <v>903</v>
      </c>
      <c r="D126" s="32">
        <v>16.163999557495117</v>
      </c>
      <c r="E126" s="29" t="s">
        <v>679</v>
      </c>
      <c r="F126" s="33">
        <f t="shared" si="1"/>
        <v>26.1679209</v>
      </c>
      <c r="G126" s="33">
        <f t="shared" si="2"/>
        <v>91.7791321</v>
      </c>
    </row>
    <row r="127">
      <c r="A127" s="30">
        <v>46015.61262921296</v>
      </c>
      <c r="B127" s="29" t="s">
        <v>370</v>
      </c>
      <c r="C127" s="31" t="s">
        <v>904</v>
      </c>
      <c r="D127" s="32">
        <v>70.25</v>
      </c>
      <c r="E127" s="29" t="s">
        <v>679</v>
      </c>
      <c r="F127" s="33">
        <f t="shared" si="1"/>
        <v>26.1804374</v>
      </c>
      <c r="G127" s="33">
        <f t="shared" si="2"/>
        <v>91.7752961</v>
      </c>
    </row>
    <row r="128">
      <c r="A128" s="30">
        <v>46015.62597199074</v>
      </c>
      <c r="B128" s="29" t="s">
        <v>905</v>
      </c>
      <c r="C128" s="31" t="s">
        <v>906</v>
      </c>
      <c r="D128" s="32">
        <v>16.222999572753906</v>
      </c>
      <c r="E128" s="29" t="s">
        <v>679</v>
      </c>
      <c r="F128" s="33">
        <f t="shared" si="1"/>
        <v>26.1847989</v>
      </c>
      <c r="G128" s="33">
        <f t="shared" si="2"/>
        <v>91.7747168</v>
      </c>
    </row>
    <row r="129">
      <c r="A129" s="30">
        <v>46015.63372278935</v>
      </c>
      <c r="B129" s="29" t="s">
        <v>907</v>
      </c>
      <c r="C129" s="31" t="s">
        <v>908</v>
      </c>
      <c r="D129" s="32">
        <v>22.340999603271484</v>
      </c>
      <c r="E129" s="29" t="s">
        <v>679</v>
      </c>
      <c r="F129" s="33">
        <f t="shared" si="1"/>
        <v>26.174859</v>
      </c>
      <c r="G129" s="33">
        <f t="shared" si="2"/>
        <v>91.772613</v>
      </c>
    </row>
    <row r="130">
      <c r="A130" s="30">
        <v>46015.64935115741</v>
      </c>
      <c r="B130" s="29" t="s">
        <v>909</v>
      </c>
      <c r="C130" s="31" t="s">
        <v>910</v>
      </c>
      <c r="D130" s="32">
        <v>13.01200008392334</v>
      </c>
      <c r="E130" s="29" t="s">
        <v>679</v>
      </c>
      <c r="F130" s="33">
        <f t="shared" si="1"/>
        <v>26.1837941</v>
      </c>
      <c r="G130" s="33">
        <f t="shared" si="2"/>
        <v>91.7800973</v>
      </c>
    </row>
    <row r="131">
      <c r="A131" s="30">
        <v>46015.65454108796</v>
      </c>
      <c r="B131" s="29" t="s">
        <v>911</v>
      </c>
      <c r="C131" s="31" t="s">
        <v>912</v>
      </c>
      <c r="D131" s="32">
        <v>29.43600082397461</v>
      </c>
      <c r="E131" s="29" t="s">
        <v>679</v>
      </c>
      <c r="F131" s="33">
        <f t="shared" si="1"/>
        <v>26.1833829</v>
      </c>
      <c r="G131" s="33">
        <f t="shared" si="2"/>
        <v>91.7823086</v>
      </c>
    </row>
    <row r="132">
      <c r="A132" s="30">
        <v>46015.684457916665</v>
      </c>
      <c r="B132" s="29" t="s">
        <v>384</v>
      </c>
      <c r="C132" s="31" t="s">
        <v>913</v>
      </c>
      <c r="D132" s="32">
        <v>28.445999145507812</v>
      </c>
      <c r="E132" s="29" t="s">
        <v>679</v>
      </c>
      <c r="F132" s="33">
        <f t="shared" si="1"/>
        <v>26.1858244</v>
      </c>
      <c r="G132" s="33">
        <f t="shared" si="2"/>
        <v>91.7754594</v>
      </c>
    </row>
    <row r="133">
      <c r="A133" s="30">
        <v>46015.68616333333</v>
      </c>
      <c r="B133" s="29" t="s">
        <v>386</v>
      </c>
      <c r="C133" s="31" t="s">
        <v>914</v>
      </c>
      <c r="D133" s="32">
        <v>17.458999633789062</v>
      </c>
      <c r="E133" s="29" t="s">
        <v>679</v>
      </c>
      <c r="F133" s="33">
        <f t="shared" si="1"/>
        <v>26.1859208</v>
      </c>
      <c r="G133" s="33">
        <f t="shared" si="2"/>
        <v>91.7756262</v>
      </c>
    </row>
    <row r="134">
      <c r="A134" s="30">
        <v>46015.70254236111</v>
      </c>
      <c r="B134" s="29" t="s">
        <v>915</v>
      </c>
      <c r="C134" s="31" t="s">
        <v>916</v>
      </c>
      <c r="D134" s="32">
        <v>18.591999053955078</v>
      </c>
      <c r="E134" s="29" t="s">
        <v>679</v>
      </c>
      <c r="F134" s="33">
        <f t="shared" si="1"/>
        <v>26.1765894</v>
      </c>
      <c r="G134" s="33">
        <f t="shared" si="2"/>
        <v>91.7761696</v>
      </c>
    </row>
    <row r="135">
      <c r="A135" s="30">
        <v>46015.71520180556</v>
      </c>
      <c r="B135" s="29" t="s">
        <v>390</v>
      </c>
      <c r="C135" s="31" t="s">
        <v>917</v>
      </c>
      <c r="D135" s="32">
        <v>23.38800048828125</v>
      </c>
      <c r="E135" s="29" t="s">
        <v>679</v>
      </c>
      <c r="F135" s="33">
        <f t="shared" si="1"/>
        <v>26.1699016</v>
      </c>
      <c r="G135" s="33">
        <f t="shared" si="2"/>
        <v>91.7781599</v>
      </c>
    </row>
    <row r="136">
      <c r="A136" s="30">
        <v>46015.72438157407</v>
      </c>
      <c r="B136" s="29" t="s">
        <v>392</v>
      </c>
      <c r="C136" s="31" t="s">
        <v>918</v>
      </c>
      <c r="D136" s="32">
        <v>32.909000396728516</v>
      </c>
      <c r="E136" s="29" t="s">
        <v>679</v>
      </c>
      <c r="F136" s="33">
        <f t="shared" si="1"/>
        <v>26.1708036</v>
      </c>
      <c r="G136" s="33">
        <f t="shared" si="2"/>
        <v>91.7781096</v>
      </c>
    </row>
    <row r="137">
      <c r="A137" s="30">
        <v>46015.7360443287</v>
      </c>
      <c r="B137" s="29" t="s">
        <v>394</v>
      </c>
      <c r="C137" s="31" t="s">
        <v>919</v>
      </c>
      <c r="D137" s="32">
        <v>14.295999526977539</v>
      </c>
      <c r="E137" s="29" t="s">
        <v>679</v>
      </c>
      <c r="F137" s="33">
        <f t="shared" si="1"/>
        <v>26.1743739</v>
      </c>
      <c r="G137" s="33">
        <f t="shared" si="2"/>
        <v>91.7769738</v>
      </c>
    </row>
    <row r="138">
      <c r="A138" s="30">
        <v>46016.553478263886</v>
      </c>
      <c r="B138" s="29" t="s">
        <v>397</v>
      </c>
      <c r="C138" s="31" t="s">
        <v>920</v>
      </c>
      <c r="D138" s="32">
        <v>67.35299682617188</v>
      </c>
      <c r="E138" s="29" t="s">
        <v>679</v>
      </c>
      <c r="F138" s="33">
        <f t="shared" si="1"/>
        <v>26.1866388</v>
      </c>
      <c r="G138" s="33">
        <f t="shared" si="2"/>
        <v>91.7433694</v>
      </c>
    </row>
    <row r="139">
      <c r="A139" s="30">
        <v>46016.56685307871</v>
      </c>
      <c r="B139" s="29" t="s">
        <v>921</v>
      </c>
      <c r="C139" s="31" t="s">
        <v>922</v>
      </c>
      <c r="D139" s="32">
        <v>7.9670000076293945</v>
      </c>
      <c r="E139" s="29" t="s">
        <v>679</v>
      </c>
      <c r="F139" s="33">
        <f t="shared" si="1"/>
        <v>26.1922173</v>
      </c>
      <c r="G139" s="33">
        <f t="shared" si="2"/>
        <v>91.7523218</v>
      </c>
    </row>
    <row r="140">
      <c r="A140" s="30">
        <v>46016.567049143516</v>
      </c>
      <c r="B140" s="29" t="s">
        <v>921</v>
      </c>
      <c r="C140" s="31" t="s">
        <v>923</v>
      </c>
      <c r="D140" s="32">
        <v>27.892000198364258</v>
      </c>
      <c r="E140" s="29" t="s">
        <v>679</v>
      </c>
      <c r="F140" s="33">
        <f t="shared" si="1"/>
        <v>26.1922409</v>
      </c>
      <c r="G140" s="33">
        <f t="shared" si="2"/>
        <v>91.7521903</v>
      </c>
    </row>
    <row r="141">
      <c r="A141" s="30">
        <v>46016.57900467592</v>
      </c>
      <c r="B141" s="29" t="s">
        <v>402</v>
      </c>
      <c r="C141" s="31" t="s">
        <v>924</v>
      </c>
      <c r="D141" s="32">
        <v>72.9000015258789</v>
      </c>
      <c r="E141" s="29" t="s">
        <v>679</v>
      </c>
      <c r="F141" s="33">
        <f t="shared" si="1"/>
        <v>26.1604995</v>
      </c>
      <c r="G141" s="33">
        <f t="shared" si="2"/>
        <v>91.784379</v>
      </c>
    </row>
    <row r="142">
      <c r="A142" s="30">
        <v>46016.583491875004</v>
      </c>
      <c r="B142" s="29" t="s">
        <v>405</v>
      </c>
      <c r="C142" s="31" t="s">
        <v>925</v>
      </c>
      <c r="D142" s="32">
        <v>31.466999053955078</v>
      </c>
      <c r="E142" s="29" t="s">
        <v>679</v>
      </c>
      <c r="F142" s="33">
        <f t="shared" si="1"/>
        <v>26.1948331</v>
      </c>
      <c r="G142" s="33">
        <f t="shared" si="2"/>
        <v>91.7635868</v>
      </c>
    </row>
    <row r="143">
      <c r="A143" s="30">
        <v>46016.587339826394</v>
      </c>
      <c r="B143" s="29" t="s">
        <v>926</v>
      </c>
      <c r="C143" s="31" t="s">
        <v>927</v>
      </c>
      <c r="D143" s="32">
        <v>15.552000045776367</v>
      </c>
      <c r="E143" s="29" t="s">
        <v>679</v>
      </c>
      <c r="F143" s="33">
        <f t="shared" si="1"/>
        <v>26.1948303</v>
      </c>
      <c r="G143" s="33">
        <f t="shared" si="2"/>
        <v>91.7656971</v>
      </c>
    </row>
    <row r="144">
      <c r="A144" s="30">
        <v>46016.58991274306</v>
      </c>
      <c r="B144" s="29" t="s">
        <v>410</v>
      </c>
      <c r="C144" s="31" t="s">
        <v>928</v>
      </c>
      <c r="D144" s="32">
        <v>15.088000297546387</v>
      </c>
      <c r="E144" s="29" t="s">
        <v>679</v>
      </c>
      <c r="F144" s="33">
        <f t="shared" si="1"/>
        <v>26.1948594</v>
      </c>
      <c r="G144" s="33">
        <f t="shared" si="2"/>
        <v>91.7657936</v>
      </c>
    </row>
    <row r="145">
      <c r="A145" s="30">
        <v>46016.5968732176</v>
      </c>
      <c r="B145" s="29" t="s">
        <v>412</v>
      </c>
      <c r="C145" s="31" t="s">
        <v>929</v>
      </c>
      <c r="D145" s="32">
        <v>69.11399841308594</v>
      </c>
      <c r="E145" s="29" t="s">
        <v>679</v>
      </c>
      <c r="F145" s="33">
        <f t="shared" si="1"/>
        <v>26.1989984</v>
      </c>
      <c r="G145" s="33">
        <f t="shared" si="2"/>
        <v>91.7752615</v>
      </c>
    </row>
    <row r="146">
      <c r="A146" s="30">
        <v>46016.60514043982</v>
      </c>
      <c r="B146" s="29" t="s">
        <v>414</v>
      </c>
      <c r="C146" s="31" t="s">
        <v>930</v>
      </c>
      <c r="D146" s="32">
        <v>20.0</v>
      </c>
      <c r="E146" s="29" t="s">
        <v>679</v>
      </c>
      <c r="F146" s="33">
        <f t="shared" si="1"/>
        <v>26.1998262</v>
      </c>
      <c r="G146" s="33">
        <f t="shared" si="2"/>
        <v>91.779696</v>
      </c>
    </row>
    <row r="147">
      <c r="A147" s="30">
        <v>46016.623638391204</v>
      </c>
      <c r="B147" s="29" t="s">
        <v>416</v>
      </c>
      <c r="C147" s="31" t="s">
        <v>931</v>
      </c>
      <c r="D147" s="32">
        <v>18.965999603271484</v>
      </c>
      <c r="E147" s="29" t="s">
        <v>679</v>
      </c>
      <c r="F147" s="33">
        <f t="shared" si="1"/>
        <v>26.1909978</v>
      </c>
      <c r="G147" s="33">
        <f t="shared" si="2"/>
        <v>91.799384</v>
      </c>
    </row>
    <row r="148">
      <c r="A148" s="30">
        <v>46016.625924085645</v>
      </c>
      <c r="B148" s="29" t="s">
        <v>932</v>
      </c>
      <c r="C148" s="31" t="s">
        <v>933</v>
      </c>
      <c r="D148" s="32">
        <v>12.442999839782715</v>
      </c>
      <c r="E148" s="29" t="s">
        <v>679</v>
      </c>
      <c r="F148" s="33">
        <f t="shared" si="1"/>
        <v>26.1909623</v>
      </c>
      <c r="G148" s="33">
        <f t="shared" si="2"/>
        <v>91.7993811</v>
      </c>
    </row>
    <row r="149">
      <c r="A149" s="30">
        <v>46016.62595405093</v>
      </c>
      <c r="B149" s="29" t="s">
        <v>932</v>
      </c>
      <c r="C149" s="31" t="s">
        <v>934</v>
      </c>
      <c r="D149" s="32">
        <v>11.131999969482422</v>
      </c>
      <c r="E149" s="29" t="s">
        <v>679</v>
      </c>
      <c r="F149" s="33">
        <f t="shared" si="1"/>
        <v>26.1909447</v>
      </c>
      <c r="G149" s="33">
        <f t="shared" si="2"/>
        <v>91.7995397</v>
      </c>
    </row>
    <row r="150">
      <c r="A150" s="30">
        <v>46016.668259479164</v>
      </c>
      <c r="B150" s="29" t="s">
        <v>421</v>
      </c>
      <c r="C150" s="31" t="s">
        <v>935</v>
      </c>
      <c r="D150" s="32">
        <v>19.72100067138672</v>
      </c>
      <c r="E150" s="29" t="s">
        <v>679</v>
      </c>
      <c r="F150" s="33">
        <f t="shared" si="1"/>
        <v>26.1779038</v>
      </c>
      <c r="G150" s="33">
        <f t="shared" si="2"/>
        <v>91.7757161</v>
      </c>
    </row>
    <row r="151">
      <c r="A151" s="30">
        <v>46016.74572761574</v>
      </c>
      <c r="B151" s="29" t="s">
        <v>936</v>
      </c>
      <c r="C151" s="31" t="s">
        <v>937</v>
      </c>
      <c r="D151" s="32">
        <v>12.383999824523926</v>
      </c>
      <c r="E151" s="29" t="s">
        <v>679</v>
      </c>
    </row>
    <row r="152">
      <c r="A152" s="30">
        <v>46018.49542491898</v>
      </c>
      <c r="B152" s="29" t="s">
        <v>429</v>
      </c>
      <c r="C152" s="31" t="s">
        <v>938</v>
      </c>
      <c r="D152" s="32">
        <v>17.347999572753906</v>
      </c>
      <c r="E152" s="29" t="s">
        <v>679</v>
      </c>
    </row>
    <row r="153">
      <c r="A153" s="30">
        <v>46018.49784615741</v>
      </c>
      <c r="B153" s="29" t="s">
        <v>432</v>
      </c>
      <c r="C153" s="31" t="s">
        <v>939</v>
      </c>
      <c r="D153" s="32">
        <v>19.76799964904785</v>
      </c>
      <c r="E153" s="29" t="s">
        <v>679</v>
      </c>
    </row>
    <row r="154">
      <c r="A154" s="30">
        <v>46018.509473240745</v>
      </c>
      <c r="B154" s="29" t="s">
        <v>940</v>
      </c>
      <c r="C154" s="31" t="s">
        <v>941</v>
      </c>
      <c r="D154" s="32">
        <v>15.267999649047852</v>
      </c>
      <c r="E154" s="29" t="s">
        <v>679</v>
      </c>
    </row>
    <row r="155">
      <c r="A155" s="30">
        <v>46018.52289597222</v>
      </c>
      <c r="B155" s="29" t="s">
        <v>441</v>
      </c>
      <c r="C155" s="31" t="s">
        <v>942</v>
      </c>
      <c r="D155" s="32">
        <v>16.576000213623047</v>
      </c>
      <c r="E155" s="29" t="s">
        <v>679</v>
      </c>
    </row>
    <row r="156">
      <c r="A156" s="30">
        <v>46018.52932585648</v>
      </c>
      <c r="B156" s="29" t="s">
        <v>943</v>
      </c>
      <c r="C156" s="31" t="s">
        <v>944</v>
      </c>
      <c r="D156" s="32">
        <v>23.375</v>
      </c>
      <c r="E156" s="29" t="s">
        <v>679</v>
      </c>
    </row>
    <row r="157">
      <c r="A157" s="30">
        <v>46018.54095993056</v>
      </c>
      <c r="B157" s="29" t="s">
        <v>945</v>
      </c>
      <c r="C157" s="31" t="s">
        <v>946</v>
      </c>
      <c r="D157" s="32">
        <v>18.465999603271484</v>
      </c>
      <c r="E157" s="29" t="s">
        <v>679</v>
      </c>
    </row>
    <row r="158">
      <c r="A158" s="30">
        <v>46018.545313842595</v>
      </c>
      <c r="B158" s="29" t="s">
        <v>450</v>
      </c>
      <c r="C158" s="31" t="s">
        <v>947</v>
      </c>
      <c r="D158" s="32">
        <v>17.9689998626709</v>
      </c>
      <c r="E158" s="29" t="s">
        <v>679</v>
      </c>
    </row>
    <row r="159">
      <c r="A159" s="30">
        <v>46018.54904387731</v>
      </c>
      <c r="B159" s="29" t="s">
        <v>454</v>
      </c>
      <c r="C159" s="31" t="s">
        <v>948</v>
      </c>
      <c r="D159" s="32">
        <v>18.593000411987305</v>
      </c>
      <c r="E159" s="29" t="s">
        <v>679</v>
      </c>
    </row>
    <row r="160">
      <c r="A160" s="30">
        <v>46018.55338193287</v>
      </c>
      <c r="B160" s="29" t="s">
        <v>457</v>
      </c>
      <c r="C160" s="31" t="s">
        <v>949</v>
      </c>
      <c r="D160" s="32">
        <v>11.677000045776367</v>
      </c>
      <c r="E160" s="29" t="s">
        <v>679</v>
      </c>
    </row>
    <row r="161">
      <c r="A161" s="30">
        <v>46018.55731965278</v>
      </c>
      <c r="B161" s="29" t="s">
        <v>459</v>
      </c>
      <c r="C161" s="31" t="s">
        <v>950</v>
      </c>
      <c r="D161" s="32">
        <v>11.795000076293945</v>
      </c>
      <c r="E161" s="29" t="s">
        <v>679</v>
      </c>
    </row>
    <row r="162">
      <c r="A162" s="30">
        <v>46018.56306555556</v>
      </c>
      <c r="B162" s="29" t="s">
        <v>951</v>
      </c>
      <c r="C162" s="31" t="s">
        <v>952</v>
      </c>
      <c r="D162" s="32">
        <v>8.954999923706055</v>
      </c>
      <c r="E162" s="29" t="s">
        <v>679</v>
      </c>
    </row>
    <row r="163">
      <c r="A163" s="30">
        <v>46018.56709696759</v>
      </c>
      <c r="B163" s="29" t="s">
        <v>953</v>
      </c>
      <c r="C163" s="31" t="s">
        <v>954</v>
      </c>
      <c r="D163" s="32">
        <v>16.184999465942383</v>
      </c>
      <c r="E163" s="29" t="s">
        <v>679</v>
      </c>
    </row>
    <row r="164">
      <c r="A164" s="30">
        <v>46018.57885974537</v>
      </c>
      <c r="B164" s="29" t="s">
        <v>467</v>
      </c>
      <c r="C164" s="31" t="s">
        <v>955</v>
      </c>
      <c r="D164" s="32">
        <v>16.04599952697754</v>
      </c>
      <c r="E164" s="29" t="s">
        <v>679</v>
      </c>
    </row>
    <row r="165">
      <c r="A165" s="30">
        <v>46018.58446087963</v>
      </c>
      <c r="B165" s="29" t="s">
        <v>956</v>
      </c>
      <c r="C165" s="31" t="s">
        <v>957</v>
      </c>
      <c r="D165" s="32">
        <v>11.618000030517578</v>
      </c>
      <c r="E165" s="29" t="s">
        <v>679</v>
      </c>
    </row>
    <row r="166">
      <c r="A166" s="30">
        <v>46018.589288055555</v>
      </c>
      <c r="B166" s="29" t="s">
        <v>523</v>
      </c>
      <c r="C166" s="31" t="s">
        <v>958</v>
      </c>
      <c r="D166" s="32">
        <v>11.762999534606934</v>
      </c>
      <c r="E166" s="29" t="s">
        <v>679</v>
      </c>
    </row>
    <row r="167">
      <c r="A167" s="30">
        <v>46018.59634809028</v>
      </c>
      <c r="B167" s="29" t="s">
        <v>959</v>
      </c>
      <c r="C167" s="31" t="s">
        <v>960</v>
      </c>
      <c r="D167" s="32">
        <v>32.98099899291992</v>
      </c>
      <c r="E167" s="29" t="s">
        <v>679</v>
      </c>
    </row>
    <row r="168">
      <c r="A168" s="30">
        <v>46018.60771164352</v>
      </c>
      <c r="B168" s="29" t="s">
        <v>478</v>
      </c>
      <c r="C168" s="31" t="s">
        <v>961</v>
      </c>
      <c r="D168" s="32">
        <v>17.249000549316406</v>
      </c>
      <c r="E168" s="29" t="s">
        <v>679</v>
      </c>
    </row>
    <row r="169">
      <c r="A169" s="30">
        <v>46018.61366746528</v>
      </c>
      <c r="B169" s="29" t="s">
        <v>481</v>
      </c>
      <c r="C169" s="31" t="s">
        <v>962</v>
      </c>
      <c r="D169" s="32">
        <v>11.805999755859375</v>
      </c>
      <c r="E169" s="29" t="s">
        <v>679</v>
      </c>
    </row>
    <row r="170">
      <c r="A170" s="30">
        <v>46018.625020590276</v>
      </c>
      <c r="B170" s="29" t="s">
        <v>487</v>
      </c>
      <c r="C170" s="31" t="s">
        <v>963</v>
      </c>
      <c r="D170" s="32">
        <v>18.1299991607666</v>
      </c>
      <c r="E170" s="29" t="s">
        <v>679</v>
      </c>
    </row>
    <row r="171">
      <c r="A171" s="30">
        <v>46018.64519921296</v>
      </c>
      <c r="B171" s="29" t="s">
        <v>490</v>
      </c>
      <c r="C171" s="31" t="s">
        <v>964</v>
      </c>
      <c r="D171" s="32">
        <v>26.32200050354004</v>
      </c>
      <c r="E171" s="29" t="s">
        <v>679</v>
      </c>
    </row>
    <row r="172">
      <c r="A172" s="30">
        <v>46018.64700240741</v>
      </c>
      <c r="B172" s="29" t="s">
        <v>490</v>
      </c>
      <c r="C172" s="31" t="s">
        <v>965</v>
      </c>
      <c r="D172" s="32">
        <v>31.32200050354004</v>
      </c>
      <c r="E172" s="29" t="s">
        <v>679</v>
      </c>
    </row>
    <row r="173">
      <c r="A173" s="30">
        <v>46020.5129534838</v>
      </c>
      <c r="B173" s="29" t="s">
        <v>966</v>
      </c>
      <c r="C173" s="31" t="s">
        <v>967</v>
      </c>
      <c r="D173" s="32">
        <v>9.730999946594238</v>
      </c>
      <c r="E173" s="29" t="s">
        <v>679</v>
      </c>
    </row>
    <row r="174">
      <c r="A174" s="30">
        <v>46020.517843634254</v>
      </c>
      <c r="B174" s="29" t="s">
        <v>497</v>
      </c>
      <c r="C174" s="31" t="s">
        <v>968</v>
      </c>
      <c r="D174" s="32">
        <v>11.631999969482422</v>
      </c>
      <c r="E174" s="29" t="s">
        <v>679</v>
      </c>
    </row>
    <row r="175">
      <c r="A175" s="30">
        <v>46020.52155644676</v>
      </c>
      <c r="B175" s="29" t="s">
        <v>969</v>
      </c>
      <c r="C175" s="31" t="s">
        <v>970</v>
      </c>
      <c r="D175" s="32">
        <v>32.393001556396484</v>
      </c>
      <c r="E175" s="29" t="s">
        <v>679</v>
      </c>
    </row>
    <row r="176">
      <c r="A176" s="30">
        <v>46020.52294332176</v>
      </c>
      <c r="B176" s="29" t="s">
        <v>502</v>
      </c>
      <c r="C176" s="31" t="s">
        <v>971</v>
      </c>
      <c r="D176" s="32">
        <v>49.74700164794922</v>
      </c>
      <c r="E176" s="29" t="s">
        <v>679</v>
      </c>
    </row>
    <row r="177">
      <c r="A177" s="30">
        <v>46020.54037798611</v>
      </c>
      <c r="B177" s="29" t="s">
        <v>972</v>
      </c>
      <c r="C177" s="31" t="s">
        <v>973</v>
      </c>
      <c r="D177" s="32">
        <v>13.248000144958496</v>
      </c>
      <c r="E177" s="29" t="s">
        <v>679</v>
      </c>
    </row>
    <row r="178">
      <c r="A178" s="30">
        <v>46020.552178784725</v>
      </c>
      <c r="B178" s="29" t="s">
        <v>510</v>
      </c>
      <c r="C178" s="31" t="s">
        <v>974</v>
      </c>
      <c r="D178" s="32">
        <v>10.744999885559082</v>
      </c>
      <c r="E178" s="29" t="s">
        <v>679</v>
      </c>
    </row>
    <row r="179">
      <c r="A179" s="30">
        <v>46020.55792982639</v>
      </c>
      <c r="B179" s="29" t="s">
        <v>512</v>
      </c>
      <c r="C179" s="31" t="s">
        <v>975</v>
      </c>
      <c r="D179" s="32">
        <v>2000.0</v>
      </c>
      <c r="E179" s="29" t="s">
        <v>679</v>
      </c>
    </row>
    <row r="180">
      <c r="A180" s="30">
        <v>46020.56130006944</v>
      </c>
      <c r="B180" s="29" t="s">
        <v>515</v>
      </c>
      <c r="C180" s="31" t="s">
        <v>976</v>
      </c>
      <c r="D180" s="32">
        <v>21.858999252319336</v>
      </c>
      <c r="E180" s="29" t="s">
        <v>679</v>
      </c>
    </row>
    <row r="181">
      <c r="A181" s="30">
        <v>46020.57081908565</v>
      </c>
      <c r="B181" s="29" t="s">
        <v>518</v>
      </c>
      <c r="C181" s="31" t="s">
        <v>977</v>
      </c>
      <c r="D181" s="32">
        <v>17.628999710083008</v>
      </c>
      <c r="E181" s="29" t="s">
        <v>679</v>
      </c>
    </row>
    <row r="182">
      <c r="A182" s="30">
        <v>46020.5741865625</v>
      </c>
      <c r="B182" s="29" t="s">
        <v>978</v>
      </c>
      <c r="C182" s="31" t="s">
        <v>979</v>
      </c>
      <c r="D182" s="32">
        <v>30.020999908447266</v>
      </c>
      <c r="E182" s="29" t="s">
        <v>679</v>
      </c>
    </row>
    <row r="183">
      <c r="A183" s="30">
        <v>46020.59331686342</v>
      </c>
      <c r="B183" s="29" t="s">
        <v>523</v>
      </c>
      <c r="C183" s="31" t="s">
        <v>980</v>
      </c>
      <c r="D183" s="32">
        <v>3.9010000228881836</v>
      </c>
      <c r="E183" s="29" t="s">
        <v>679</v>
      </c>
    </row>
    <row r="184">
      <c r="A184" s="30">
        <v>46020.59765142361</v>
      </c>
      <c r="B184" s="29" t="s">
        <v>525</v>
      </c>
      <c r="C184" s="31" t="s">
        <v>981</v>
      </c>
      <c r="D184" s="32">
        <v>28.284000396728516</v>
      </c>
      <c r="E184" s="29" t="s">
        <v>679</v>
      </c>
    </row>
    <row r="185">
      <c r="A185" s="30">
        <v>46020.603097326384</v>
      </c>
      <c r="B185" s="29" t="s">
        <v>528</v>
      </c>
      <c r="C185" s="31" t="s">
        <v>982</v>
      </c>
      <c r="D185" s="32">
        <v>31.444000244140625</v>
      </c>
      <c r="E185" s="29" t="s">
        <v>679</v>
      </c>
    </row>
    <row r="186">
      <c r="A186" s="30">
        <v>46020.70657144676</v>
      </c>
      <c r="B186" s="29" t="s">
        <v>531</v>
      </c>
      <c r="C186" s="31" t="s">
        <v>983</v>
      </c>
      <c r="D186" s="32">
        <v>20.232999801635742</v>
      </c>
      <c r="E186" s="29" t="s">
        <v>679</v>
      </c>
    </row>
    <row r="187">
      <c r="A187" s="30">
        <v>46020.70904126157</v>
      </c>
      <c r="B187" s="29" t="s">
        <v>533</v>
      </c>
      <c r="C187" s="31" t="s">
        <v>984</v>
      </c>
      <c r="D187" s="32">
        <v>13.848999977111816</v>
      </c>
      <c r="E187" s="29" t="s">
        <v>679</v>
      </c>
    </row>
    <row r="188">
      <c r="A188" s="30">
        <v>46020.711995300924</v>
      </c>
      <c r="B188" s="29" t="s">
        <v>535</v>
      </c>
      <c r="C188" s="31" t="s">
        <v>985</v>
      </c>
      <c r="D188" s="32">
        <v>20.163999557495117</v>
      </c>
      <c r="E188" s="29" t="s">
        <v>679</v>
      </c>
    </row>
    <row r="189">
      <c r="A189" s="30">
        <v>46020.720808391205</v>
      </c>
      <c r="B189" s="29" t="s">
        <v>538</v>
      </c>
      <c r="C189" s="31" t="s">
        <v>986</v>
      </c>
      <c r="D189" s="32">
        <v>18.832000732421875</v>
      </c>
      <c r="E189" s="29" t="s">
        <v>679</v>
      </c>
    </row>
    <row r="190">
      <c r="A190" s="30">
        <v>46020.72288277777</v>
      </c>
      <c r="B190" s="29" t="s">
        <v>987</v>
      </c>
      <c r="C190" s="31" t="s">
        <v>988</v>
      </c>
      <c r="D190" s="32">
        <v>11.47599983215332</v>
      </c>
      <c r="E190" s="29" t="s">
        <v>679</v>
      </c>
    </row>
    <row r="191">
      <c r="A191" s="30">
        <v>46021.503165138885</v>
      </c>
      <c r="B191" s="29" t="s">
        <v>544</v>
      </c>
      <c r="C191" s="31" t="s">
        <v>989</v>
      </c>
      <c r="D191" s="32">
        <v>11.246999740600586</v>
      </c>
      <c r="E191" s="29" t="s">
        <v>679</v>
      </c>
    </row>
    <row r="192">
      <c r="A192" s="30">
        <v>46021.515972546295</v>
      </c>
      <c r="B192" s="29" t="s">
        <v>990</v>
      </c>
      <c r="C192" s="31" t="s">
        <v>991</v>
      </c>
      <c r="D192" s="32">
        <v>29.020999908447266</v>
      </c>
      <c r="E192" s="29" t="s">
        <v>679</v>
      </c>
    </row>
    <row r="193">
      <c r="A193" s="30">
        <v>46021.5170287037</v>
      </c>
      <c r="B193" s="29" t="s">
        <v>549</v>
      </c>
      <c r="C193" s="31" t="s">
        <v>992</v>
      </c>
      <c r="D193" s="32">
        <v>25.485000610351562</v>
      </c>
      <c r="E193" s="29" t="s">
        <v>679</v>
      </c>
    </row>
    <row r="194">
      <c r="A194" s="30">
        <v>46021.528618275464</v>
      </c>
      <c r="B194" s="29" t="s">
        <v>551</v>
      </c>
      <c r="C194" s="31" t="s">
        <v>993</v>
      </c>
      <c r="D194" s="32">
        <v>61.23099899291992</v>
      </c>
      <c r="E194" s="29" t="s">
        <v>679</v>
      </c>
    </row>
    <row r="195">
      <c r="A195" s="30">
        <v>46021.54125776621</v>
      </c>
      <c r="B195" s="29" t="s">
        <v>553</v>
      </c>
      <c r="C195" s="31" t="s">
        <v>994</v>
      </c>
      <c r="D195" s="32">
        <v>11.9399995803833</v>
      </c>
      <c r="E195" s="29" t="s">
        <v>679</v>
      </c>
    </row>
    <row r="196">
      <c r="A196" s="30">
        <v>46021.54833046296</v>
      </c>
      <c r="B196" s="29" t="s">
        <v>556</v>
      </c>
      <c r="C196" s="31" t="s">
        <v>995</v>
      </c>
      <c r="D196" s="32">
        <v>22.024999618530273</v>
      </c>
      <c r="E196" s="29" t="s">
        <v>679</v>
      </c>
    </row>
    <row r="197">
      <c r="A197" s="30">
        <v>46021.55361771991</v>
      </c>
      <c r="B197" s="29" t="s">
        <v>558</v>
      </c>
      <c r="C197" s="31" t="s">
        <v>996</v>
      </c>
      <c r="D197" s="32">
        <v>18.051000595092773</v>
      </c>
      <c r="E197" s="29" t="s">
        <v>679</v>
      </c>
    </row>
    <row r="198">
      <c r="A198" s="30">
        <v>46021.56159226852</v>
      </c>
      <c r="B198" s="29" t="s">
        <v>560</v>
      </c>
      <c r="C198" s="31" t="s">
        <v>997</v>
      </c>
      <c r="D198" s="32">
        <v>18.930999755859375</v>
      </c>
      <c r="E198" s="29" t="s">
        <v>679</v>
      </c>
    </row>
    <row r="199">
      <c r="A199" s="30">
        <v>46021.56949637731</v>
      </c>
      <c r="B199" s="29" t="s">
        <v>562</v>
      </c>
      <c r="C199" s="31" t="s">
        <v>998</v>
      </c>
      <c r="D199" s="32">
        <v>13.9350004196167</v>
      </c>
      <c r="E199" s="29" t="s">
        <v>679</v>
      </c>
    </row>
    <row r="200">
      <c r="A200" s="30">
        <v>46021.58109280093</v>
      </c>
      <c r="B200" s="29" t="s">
        <v>999</v>
      </c>
      <c r="C200" s="31" t="s">
        <v>1000</v>
      </c>
      <c r="D200" s="32">
        <v>12.855999946594238</v>
      </c>
      <c r="E200" s="29" t="s">
        <v>679</v>
      </c>
    </row>
    <row r="201">
      <c r="A201" s="30">
        <v>46021.58314040509</v>
      </c>
      <c r="B201" s="29" t="s">
        <v>566</v>
      </c>
      <c r="C201" s="31" t="s">
        <v>1001</v>
      </c>
      <c r="D201" s="32">
        <v>12.753999710083008</v>
      </c>
      <c r="E201" s="29" t="s">
        <v>679</v>
      </c>
    </row>
    <row r="202">
      <c r="A202" s="30">
        <v>46025.6500203125</v>
      </c>
      <c r="B202" s="29" t="s">
        <v>569</v>
      </c>
      <c r="C202" s="31" t="s">
        <v>1002</v>
      </c>
      <c r="D202" s="32">
        <v>26.42099952697754</v>
      </c>
      <c r="E202" s="29" t="s">
        <v>679</v>
      </c>
    </row>
    <row r="203">
      <c r="A203" s="30">
        <v>46025.663977731485</v>
      </c>
      <c r="B203" s="29" t="s">
        <v>553</v>
      </c>
      <c r="C203" s="31" t="s">
        <v>1003</v>
      </c>
      <c r="D203" s="32">
        <v>7.269999980926514</v>
      </c>
      <c r="E203" s="29" t="s">
        <v>679</v>
      </c>
    </row>
    <row r="204">
      <c r="A204" s="30">
        <v>46025.67728510417</v>
      </c>
      <c r="B204" s="29" t="s">
        <v>574</v>
      </c>
      <c r="C204" s="31" t="s">
        <v>1004</v>
      </c>
      <c r="D204" s="32">
        <v>16.680999755859375</v>
      </c>
      <c r="E204" s="29" t="s">
        <v>679</v>
      </c>
    </row>
    <row r="205">
      <c r="A205" s="30">
        <v>46025.68643667824</v>
      </c>
      <c r="B205" s="29" t="s">
        <v>577</v>
      </c>
      <c r="C205" s="31" t="s">
        <v>1005</v>
      </c>
      <c r="D205" s="32">
        <v>25.093000411987305</v>
      </c>
      <c r="E205" s="29" t="s">
        <v>679</v>
      </c>
    </row>
    <row r="206">
      <c r="A206" s="30">
        <v>46028.7357865625</v>
      </c>
      <c r="B206" s="29" t="s">
        <v>1006</v>
      </c>
      <c r="C206" s="31" t="s">
        <v>1007</v>
      </c>
      <c r="D206" s="32">
        <v>35.0</v>
      </c>
      <c r="E206" s="29" t="s">
        <v>854</v>
      </c>
    </row>
    <row r="207">
      <c r="A207" s="30">
        <v>46029.61973859953</v>
      </c>
      <c r="B207" s="29" t="s">
        <v>579</v>
      </c>
      <c r="C207" s="31" t="s">
        <v>1008</v>
      </c>
      <c r="D207" s="32">
        <v>21.736000061035156</v>
      </c>
      <c r="E207" s="29" t="s">
        <v>679</v>
      </c>
    </row>
    <row r="208">
      <c r="A208" s="30">
        <v>46029.62239372685</v>
      </c>
      <c r="B208" s="29" t="s">
        <v>1009</v>
      </c>
      <c r="C208" s="31" t="s">
        <v>1010</v>
      </c>
      <c r="D208" s="32">
        <v>2000.0</v>
      </c>
      <c r="E208" s="29" t="s">
        <v>679</v>
      </c>
    </row>
    <row r="209">
      <c r="A209" s="30">
        <v>46029.674805</v>
      </c>
      <c r="B209" s="29" t="s">
        <v>584</v>
      </c>
      <c r="C209" s="31" t="s">
        <v>1011</v>
      </c>
      <c r="D209" s="32">
        <v>59.87799835205078</v>
      </c>
      <c r="E209" s="29" t="s">
        <v>679</v>
      </c>
    </row>
    <row r="210">
      <c r="A210" s="30">
        <v>46029.682618252315</v>
      </c>
      <c r="B210" s="29" t="s">
        <v>1012</v>
      </c>
      <c r="C210" s="31" t="s">
        <v>1013</v>
      </c>
      <c r="D210" s="32">
        <v>11.47599983215332</v>
      </c>
      <c r="E210" s="29" t="s">
        <v>679</v>
      </c>
    </row>
    <row r="211">
      <c r="A211" s="30">
        <v>46029.69159259259</v>
      </c>
      <c r="B211" s="29" t="s">
        <v>1014</v>
      </c>
      <c r="C211" s="31" t="s">
        <v>1015</v>
      </c>
      <c r="D211" s="32">
        <v>13.600000381469727</v>
      </c>
      <c r="E211" s="29" t="s">
        <v>679</v>
      </c>
    </row>
    <row r="212">
      <c r="A212" s="30">
        <v>46029.70738709491</v>
      </c>
      <c r="B212" s="29" t="s">
        <v>592</v>
      </c>
      <c r="C212" s="31" t="s">
        <v>1016</v>
      </c>
      <c r="D212" s="32">
        <v>61.32899856567383</v>
      </c>
      <c r="E212" s="29" t="s">
        <v>679</v>
      </c>
    </row>
    <row r="213">
      <c r="A213" s="30">
        <v>46029.71112633102</v>
      </c>
      <c r="B213" s="29" t="s">
        <v>1017</v>
      </c>
      <c r="C213" s="31" t="s">
        <v>1018</v>
      </c>
      <c r="D213" s="32">
        <v>13.180000305175781</v>
      </c>
      <c r="E213" s="29" t="s">
        <v>679</v>
      </c>
    </row>
    <row r="214">
      <c r="A214" s="30">
        <v>46029.7212359838</v>
      </c>
      <c r="B214" s="29" t="s">
        <v>598</v>
      </c>
      <c r="C214" s="31" t="s">
        <v>1019</v>
      </c>
      <c r="D214" s="32">
        <v>16.176000595092773</v>
      </c>
      <c r="E214" s="29" t="s">
        <v>679</v>
      </c>
    </row>
    <row r="215">
      <c r="A215" s="30">
        <v>46029.73230855324</v>
      </c>
      <c r="B215" s="29" t="s">
        <v>601</v>
      </c>
      <c r="C215" s="31" t="s">
        <v>1020</v>
      </c>
      <c r="D215" s="32">
        <v>15.812999725341797</v>
      </c>
      <c r="E215" s="29" t="s">
        <v>679</v>
      </c>
    </row>
    <row r="216">
      <c r="A216" s="30">
        <v>46029.733012662036</v>
      </c>
      <c r="B216" s="29" t="s">
        <v>601</v>
      </c>
      <c r="C216" s="31" t="s">
        <v>1021</v>
      </c>
      <c r="D216" s="32">
        <v>17.371999740600586</v>
      </c>
      <c r="E216" s="29" t="s">
        <v>679</v>
      </c>
    </row>
    <row r="217">
      <c r="A217" s="30">
        <v>46029.74857895833</v>
      </c>
      <c r="B217" s="29" t="s">
        <v>604</v>
      </c>
      <c r="C217" s="31" t="s">
        <v>1022</v>
      </c>
      <c r="D217" s="32">
        <v>16.461000442504883</v>
      </c>
      <c r="E217" s="29" t="s">
        <v>679</v>
      </c>
    </row>
    <row r="218">
      <c r="A218" s="30">
        <v>46030.51809179398</v>
      </c>
      <c r="B218" s="29" t="s">
        <v>1023</v>
      </c>
      <c r="C218" s="31" t="s">
        <v>1024</v>
      </c>
      <c r="D218" s="32">
        <v>13.595999717712402</v>
      </c>
      <c r="E218" s="29" t="s">
        <v>679</v>
      </c>
    </row>
    <row r="219">
      <c r="A219" s="30">
        <v>46030.52728556713</v>
      </c>
      <c r="B219" s="29" t="s">
        <v>1025</v>
      </c>
      <c r="C219" s="31" t="s">
        <v>1026</v>
      </c>
      <c r="D219" s="32">
        <v>13.532999992370605</v>
      </c>
      <c r="E219" s="29" t="s">
        <v>679</v>
      </c>
    </row>
    <row r="220">
      <c r="A220" s="30">
        <v>46030.52728587963</v>
      </c>
      <c r="B220" s="29" t="s">
        <v>1025</v>
      </c>
      <c r="C220" s="31" t="s">
        <v>1026</v>
      </c>
      <c r="D220" s="32">
        <v>13.532999992370605</v>
      </c>
      <c r="E220" s="29" t="s">
        <v>679</v>
      </c>
    </row>
    <row r="221">
      <c r="A221" s="30">
        <v>46030.545589050926</v>
      </c>
      <c r="B221" s="29" t="s">
        <v>613</v>
      </c>
      <c r="C221" s="31" t="s">
        <v>1027</v>
      </c>
      <c r="D221" s="32">
        <v>10.284000396728516</v>
      </c>
      <c r="E221" s="29" t="s">
        <v>679</v>
      </c>
    </row>
    <row r="222">
      <c r="A222" s="30">
        <v>46030.55642712963</v>
      </c>
      <c r="B222" s="29" t="s">
        <v>616</v>
      </c>
      <c r="C222" s="31" t="s">
        <v>1028</v>
      </c>
      <c r="D222" s="32">
        <v>13.786999702453613</v>
      </c>
      <c r="E222" s="29" t="s">
        <v>679</v>
      </c>
    </row>
    <row r="223">
      <c r="A223" s="30">
        <v>46030.56599762732</v>
      </c>
      <c r="B223" s="29" t="s">
        <v>620</v>
      </c>
      <c r="C223" s="31" t="s">
        <v>1029</v>
      </c>
      <c r="D223" s="32">
        <v>17.591999053955078</v>
      </c>
      <c r="E223" s="29" t="s">
        <v>679</v>
      </c>
    </row>
    <row r="224">
      <c r="A224" s="30">
        <v>46030.65778944445</v>
      </c>
      <c r="B224" s="29" t="s">
        <v>622</v>
      </c>
      <c r="C224" s="31" t="s">
        <v>1030</v>
      </c>
      <c r="D224" s="32">
        <v>6.574999809265137</v>
      </c>
      <c r="E224" s="29" t="s">
        <v>679</v>
      </c>
    </row>
    <row r="225">
      <c r="A225" s="30">
        <v>46030.66469215278</v>
      </c>
      <c r="B225" s="29" t="s">
        <v>625</v>
      </c>
      <c r="C225" s="31" t="s">
        <v>1031</v>
      </c>
      <c r="D225" s="32">
        <v>12.90999984741211</v>
      </c>
      <c r="E225" s="29" t="s">
        <v>679</v>
      </c>
    </row>
    <row r="226">
      <c r="A226" s="30">
        <v>46030.673869907405</v>
      </c>
      <c r="B226" s="29" t="s">
        <v>627</v>
      </c>
      <c r="C226" s="31" t="s">
        <v>1032</v>
      </c>
      <c r="D226" s="32">
        <v>21.468000411987305</v>
      </c>
      <c r="E226" s="29" t="s">
        <v>679</v>
      </c>
    </row>
    <row r="227">
      <c r="A227" s="30">
        <v>46030.68232541667</v>
      </c>
      <c r="B227" s="29" t="s">
        <v>1033</v>
      </c>
      <c r="C227" s="31" t="s">
        <v>1034</v>
      </c>
      <c r="D227" s="32">
        <v>16.261999130249023</v>
      </c>
      <c r="E227" s="29" t="s">
        <v>679</v>
      </c>
    </row>
    <row r="228">
      <c r="A228" s="30">
        <v>46030.685741875</v>
      </c>
      <c r="B228" s="29" t="s">
        <v>632</v>
      </c>
      <c r="C228" s="31" t="s">
        <v>1035</v>
      </c>
      <c r="D228" s="32">
        <v>11.407999992370605</v>
      </c>
      <c r="E228" s="29" t="s">
        <v>679</v>
      </c>
    </row>
    <row r="229">
      <c r="A229" s="30">
        <v>46030.70086545139</v>
      </c>
      <c r="B229" s="29" t="s">
        <v>635</v>
      </c>
      <c r="C229" s="31" t="s">
        <v>1036</v>
      </c>
      <c r="D229" s="32">
        <v>13.439000129699707</v>
      </c>
      <c r="E229" s="29" t="s">
        <v>679</v>
      </c>
    </row>
    <row r="230">
      <c r="A230" s="30">
        <v>46030.708351354166</v>
      </c>
      <c r="B230" s="29" t="s">
        <v>1037</v>
      </c>
      <c r="C230" s="31" t="s">
        <v>1038</v>
      </c>
      <c r="D230" s="32">
        <v>14.529999732971191</v>
      </c>
      <c r="E230" s="29" t="s">
        <v>679</v>
      </c>
    </row>
    <row r="231">
      <c r="A231" s="30">
        <v>46030.719677754634</v>
      </c>
      <c r="B231" s="29" t="s">
        <v>641</v>
      </c>
      <c r="C231" s="31" t="s">
        <v>1039</v>
      </c>
      <c r="D231" s="32">
        <v>22.250999450683594</v>
      </c>
      <c r="E231" s="29" t="s">
        <v>679</v>
      </c>
    </row>
    <row r="232">
      <c r="A232" s="30">
        <v>46031.58269790509</v>
      </c>
      <c r="B232" s="29" t="s">
        <v>644</v>
      </c>
      <c r="C232" s="31" t="s">
        <v>1040</v>
      </c>
      <c r="D232" s="32">
        <v>19.85099983215332</v>
      </c>
      <c r="E232" s="29" t="s">
        <v>679</v>
      </c>
    </row>
    <row r="233">
      <c r="A233" s="30">
        <v>46031.58735248842</v>
      </c>
      <c r="B233" s="29" t="s">
        <v>647</v>
      </c>
      <c r="C233" s="31" t="s">
        <v>1041</v>
      </c>
      <c r="D233" s="32">
        <v>13.12600040435791</v>
      </c>
      <c r="E233" s="29" t="s">
        <v>679</v>
      </c>
    </row>
    <row r="234">
      <c r="A234" s="30">
        <v>46031.60432292824</v>
      </c>
      <c r="B234" s="29" t="s">
        <v>1042</v>
      </c>
      <c r="C234" s="31" t="s">
        <v>1043</v>
      </c>
      <c r="D234" s="32">
        <v>14.911999702453613</v>
      </c>
      <c r="E234" s="29" t="s">
        <v>679</v>
      </c>
    </row>
    <row r="235">
      <c r="A235" s="30">
        <v>46031.60745582176</v>
      </c>
      <c r="B235" s="29" t="s">
        <v>1044</v>
      </c>
      <c r="C235" s="31" t="s">
        <v>1045</v>
      </c>
      <c r="D235" s="32">
        <v>30.18400001525879</v>
      </c>
      <c r="E235" s="29" t="s">
        <v>679</v>
      </c>
    </row>
    <row r="236">
      <c r="A236" s="30">
        <v>46031.6091924537</v>
      </c>
      <c r="B236" s="29" t="s">
        <v>654</v>
      </c>
      <c r="C236" s="31" t="s">
        <v>1046</v>
      </c>
      <c r="D236" s="32">
        <v>17.691999435424805</v>
      </c>
      <c r="E236" s="29" t="s">
        <v>679</v>
      </c>
    </row>
    <row r="237">
      <c r="A237" s="30">
        <v>46031.61065217592</v>
      </c>
      <c r="B237" s="29" t="s">
        <v>1047</v>
      </c>
      <c r="C237" s="31" t="s">
        <v>1048</v>
      </c>
      <c r="D237" s="32">
        <v>11.939000129699707</v>
      </c>
      <c r="E237" s="29" t="s">
        <v>679</v>
      </c>
    </row>
    <row r="238">
      <c r="A238" s="30">
        <v>46031.611926921294</v>
      </c>
      <c r="B238" s="29" t="s">
        <v>658</v>
      </c>
      <c r="C238" s="31" t="s">
        <v>1049</v>
      </c>
      <c r="D238" s="32">
        <v>11.482000350952148</v>
      </c>
      <c r="E238" s="29" t="s">
        <v>679</v>
      </c>
    </row>
    <row r="239">
      <c r="A239" s="30">
        <v>46031.61541331018</v>
      </c>
      <c r="B239" s="29" t="s">
        <v>660</v>
      </c>
      <c r="C239" s="31" t="s">
        <v>1050</v>
      </c>
      <c r="D239" s="32">
        <v>12.569999694824219</v>
      </c>
      <c r="E239" s="29" t="s">
        <v>679</v>
      </c>
    </row>
    <row r="240">
      <c r="A240" s="30">
        <v>46031.61756940972</v>
      </c>
      <c r="B240" s="29" t="s">
        <v>662</v>
      </c>
      <c r="C240" s="31" t="s">
        <v>1051</v>
      </c>
      <c r="D240" s="32">
        <v>15.571000099182129</v>
      </c>
      <c r="E240" s="29" t="s">
        <v>679</v>
      </c>
    </row>
    <row r="241">
      <c r="A241" s="30">
        <v>46034.7010777199</v>
      </c>
      <c r="B241" s="29" t="s">
        <v>1052</v>
      </c>
      <c r="C241" s="31" t="s">
        <v>1053</v>
      </c>
      <c r="D241" s="32">
        <v>13.855999946594238</v>
      </c>
      <c r="E241" s="29" t="s">
        <v>679</v>
      </c>
    </row>
    <row r="242">
      <c r="A242" s="30">
        <v>46034.71273605324</v>
      </c>
      <c r="B242" s="29" t="s">
        <v>667</v>
      </c>
      <c r="C242" s="31" t="s">
        <v>1054</v>
      </c>
      <c r="D242" s="32">
        <v>24.865999221801758</v>
      </c>
      <c r="E242" s="29" t="s">
        <v>679</v>
      </c>
    </row>
    <row r="243">
      <c r="A243" s="30">
        <v>46038.70660949074</v>
      </c>
      <c r="B243" s="29" t="s">
        <v>669</v>
      </c>
      <c r="C243" s="31" t="s">
        <v>1055</v>
      </c>
      <c r="D243" s="32">
        <v>18.934999465942383</v>
      </c>
      <c r="E243" s="29" t="s">
        <v>679</v>
      </c>
    </row>
    <row r="244">
      <c r="A244" s="30">
        <v>46041.75686623843</v>
      </c>
      <c r="B244" s="29" t="s">
        <v>671</v>
      </c>
      <c r="C244" s="31" t="s">
        <v>1056</v>
      </c>
      <c r="D244" s="32">
        <v>48.68600082397461</v>
      </c>
      <c r="E244" s="29" t="s">
        <v>679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4"/>
</worksheet>
</file>